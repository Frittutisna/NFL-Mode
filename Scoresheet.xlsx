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e\Documents\Others\AMQ\Tour\NFL\"/>
    </mc:Choice>
  </mc:AlternateContent>
  <xr:revisionPtr revIDLastSave="0" documentId="13_ncr:1_{6B43A1D0-9066-4602-B866-E2EA72072477}" xr6:coauthVersionLast="47" xr6:coauthVersionMax="47" xr10:uidLastSave="{00000000-0000-0000-0000-000000000000}"/>
  <workbookProtection workbookAlgorithmName="SHA-512" workbookHashValue="HXOUFv7ePqUz70fw+sbFWapzKhbMtdhfgugAM853tNCjJbpQ3Ak6h/QHJ1TKJgsB2ktqZVuTJQScYkISLHC6SA==" workbookSaltValue="kYrlU8VJMVTeHnbINtDe3g==" workbookSpinCount="100000" lockStructure="1"/>
  <bookViews>
    <workbookView xWindow="19095" yWindow="0" windowWidth="19410" windowHeight="21705" xr2:uid="{7410A045-2EDF-4A4D-920C-DDAFE3E870C8}"/>
  </bookViews>
  <sheets>
    <sheet name="Setup" sheetId="24" r:id="rId1"/>
    <sheet name="Game 1" sheetId="18" r:id="rId2"/>
    <sheet name="Game 2" sheetId="40" r:id="rId3"/>
    <sheet name="Game 3" sheetId="41" r:id="rId4"/>
    <sheet name="Game 4" sheetId="42" r:id="rId5"/>
    <sheet name="Game 5" sheetId="43" r:id="rId6"/>
    <sheet name="Game 6" sheetId="44" r:id="rId7"/>
    <sheet name="Game 7" sheetId="4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8" l="1"/>
  <c r="S25" i="18"/>
  <c r="C25" i="45"/>
  <c r="M4" i="45" a="1"/>
  <c r="M4" i="45" s="1"/>
  <c r="M25" i="45" s="1"/>
  <c r="D4" i="45" a="1"/>
  <c r="D4" i="45" s="1"/>
  <c r="C4" i="45"/>
  <c r="R2" i="45"/>
  <c r="Q2" i="45"/>
  <c r="C25" i="44"/>
  <c r="M4" i="44" a="1"/>
  <c r="M4" i="44" s="1"/>
  <c r="M25" i="44" s="1"/>
  <c r="D4" i="44" a="1"/>
  <c r="D4" i="44" s="1"/>
  <c r="C4" i="44"/>
  <c r="R2" i="44"/>
  <c r="Q2" i="44"/>
  <c r="C25" i="43"/>
  <c r="M4" i="43" a="1"/>
  <c r="M4" i="43" s="1"/>
  <c r="M25" i="43" s="1"/>
  <c r="D4" i="43" a="1"/>
  <c r="D4" i="43" s="1"/>
  <c r="C4" i="43"/>
  <c r="R2" i="43"/>
  <c r="Q2" i="43"/>
  <c r="C25" i="42"/>
  <c r="M4" i="42" a="1"/>
  <c r="M4" i="42" s="1"/>
  <c r="M25" i="42" s="1"/>
  <c r="D4" i="42" a="1"/>
  <c r="D4" i="42" s="1"/>
  <c r="C4" i="42"/>
  <c r="R2" i="42"/>
  <c r="Q2" i="42"/>
  <c r="C25" i="41"/>
  <c r="M4" i="41" a="1"/>
  <c r="M4" i="41" s="1"/>
  <c r="M25" i="41" s="1"/>
  <c r="D4" i="41" a="1"/>
  <c r="D4" i="41" s="1"/>
  <c r="C4" i="41"/>
  <c r="R2" i="41"/>
  <c r="Q2" i="41"/>
  <c r="C25" i="40"/>
  <c r="N21" i="40" a="1"/>
  <c r="N21" i="40" s="1"/>
  <c r="N18" i="40" a="1"/>
  <c r="N18" i="40" s="1"/>
  <c r="M4" i="40" a="1"/>
  <c r="M4" i="40" s="1"/>
  <c r="M25" i="40" s="1"/>
  <c r="D4" i="40" a="1"/>
  <c r="D4" i="40" s="1"/>
  <c r="N5" i="40" s="1" a="1"/>
  <c r="N5" i="40" s="1"/>
  <c r="C4" i="40"/>
  <c r="R2" i="40"/>
  <c r="Q2" i="40"/>
  <c r="P26" i="18"/>
  <c r="P27" i="18"/>
  <c r="P28" i="18"/>
  <c r="P29" i="18"/>
  <c r="P25" i="18"/>
  <c r="N16" i="45" l="1" a="1"/>
  <c r="N16" i="45" s="1"/>
  <c r="N8" i="45" a="1"/>
  <c r="N8" i="45" s="1"/>
  <c r="N22" i="45" a="1"/>
  <c r="N22" i="45" s="1"/>
  <c r="N14" i="45" a="1"/>
  <c r="N14" i="45" s="1"/>
  <c r="N6" i="45" a="1"/>
  <c r="N6" i="45" s="1"/>
  <c r="N17" i="45" a="1"/>
  <c r="N17" i="45" s="1"/>
  <c r="N29" i="45" a="1"/>
  <c r="N29" i="45" s="1"/>
  <c r="N4" i="45" a="1"/>
  <c r="N4" i="45" s="1"/>
  <c r="N28" i="45" a="1"/>
  <c r="N28" i="45" s="1"/>
  <c r="D25" i="45"/>
  <c r="N19" i="45" a="1"/>
  <c r="N19" i="45" s="1"/>
  <c r="N11" i="45" a="1"/>
  <c r="N11" i="45" s="1"/>
  <c r="N26" i="45" a="1"/>
  <c r="N26" i="45" s="1"/>
  <c r="N9" i="45" a="1"/>
  <c r="N9" i="45" s="1"/>
  <c r="N20" i="45" a="1"/>
  <c r="N20" i="45" s="1"/>
  <c r="N12" i="45" a="1"/>
  <c r="N12" i="45" s="1"/>
  <c r="N25" i="45" a="1"/>
  <c r="N25" i="45" s="1"/>
  <c r="N15" i="45" a="1"/>
  <c r="N15" i="45" s="1"/>
  <c r="N23" i="45" a="1"/>
  <c r="N23" i="45" s="1"/>
  <c r="N10" i="45" a="1"/>
  <c r="N10" i="45" s="1"/>
  <c r="N27" i="45" a="1"/>
  <c r="N27" i="45" s="1"/>
  <c r="N18" i="45" a="1"/>
  <c r="N18" i="45" s="1"/>
  <c r="N5" i="45" a="1"/>
  <c r="N5" i="45" s="1"/>
  <c r="N13" i="45" a="1"/>
  <c r="N13" i="45" s="1"/>
  <c r="N21" i="45" a="1"/>
  <c r="N21" i="45" s="1"/>
  <c r="N7" i="45" a="1"/>
  <c r="N7" i="45" s="1"/>
  <c r="N16" i="44" a="1"/>
  <c r="N16" i="44" s="1"/>
  <c r="N8" i="44" a="1"/>
  <c r="N8" i="44" s="1"/>
  <c r="N19" i="44" a="1"/>
  <c r="N19" i="44" s="1"/>
  <c r="N11" i="44" a="1"/>
  <c r="N11" i="44" s="1"/>
  <c r="N13" i="44" a="1"/>
  <c r="N13" i="44" s="1"/>
  <c r="N28" i="44" a="1"/>
  <c r="N28" i="44" s="1"/>
  <c r="D25" i="44"/>
  <c r="N15" i="44" a="1"/>
  <c r="N15" i="44" s="1"/>
  <c r="N5" i="44" a="1"/>
  <c r="N5" i="44" s="1"/>
  <c r="N29" i="44" a="1"/>
  <c r="N29" i="44" s="1"/>
  <c r="N6" i="44" a="1"/>
  <c r="N6" i="44" s="1"/>
  <c r="N26" i="44" a="1"/>
  <c r="N26" i="44" s="1"/>
  <c r="N17" i="44" a="1"/>
  <c r="N17" i="44" s="1"/>
  <c r="N23" i="44" a="1"/>
  <c r="N23" i="44" s="1"/>
  <c r="N27" i="44" a="1"/>
  <c r="N27" i="44" s="1"/>
  <c r="N10" i="44" a="1"/>
  <c r="N10" i="44" s="1"/>
  <c r="N21" i="44" a="1"/>
  <c r="N21" i="44" s="1"/>
  <c r="N25" i="44" a="1"/>
  <c r="N25" i="44" s="1"/>
  <c r="N22" i="44" a="1"/>
  <c r="N22" i="44" s="1"/>
  <c r="N14" i="44" a="1"/>
  <c r="N14" i="44" s="1"/>
  <c r="N9" i="44" a="1"/>
  <c r="N9" i="44" s="1"/>
  <c r="N4" i="44" a="1"/>
  <c r="N4" i="44" s="1"/>
  <c r="N18" i="44" a="1"/>
  <c r="N18" i="44" s="1"/>
  <c r="N20" i="44" a="1"/>
  <c r="N20" i="44" s="1"/>
  <c r="N12" i="44" a="1"/>
  <c r="N12" i="44" s="1"/>
  <c r="N7" i="44" a="1"/>
  <c r="N7" i="44" s="1"/>
  <c r="N16" i="43" a="1"/>
  <c r="N16" i="43" s="1"/>
  <c r="N8" i="43" a="1"/>
  <c r="N8" i="43" s="1"/>
  <c r="N26" i="43" a="1"/>
  <c r="N26" i="43" s="1"/>
  <c r="N17" i="43" a="1"/>
  <c r="N17" i="43" s="1"/>
  <c r="N23" i="43" a="1"/>
  <c r="N23" i="43" s="1"/>
  <c r="N7" i="43" a="1"/>
  <c r="N7" i="43" s="1"/>
  <c r="N21" i="43" a="1"/>
  <c r="N21" i="43" s="1"/>
  <c r="N13" i="43" a="1"/>
  <c r="N13" i="43" s="1"/>
  <c r="N28" i="43" a="1"/>
  <c r="N28" i="43" s="1"/>
  <c r="D25" i="43"/>
  <c r="N14" i="43" a="1"/>
  <c r="N14" i="43" s="1"/>
  <c r="N9" i="43" a="1"/>
  <c r="N9" i="43" s="1"/>
  <c r="N29" i="43" a="1"/>
  <c r="N29" i="43" s="1"/>
  <c r="N27" i="43" a="1"/>
  <c r="N27" i="43" s="1"/>
  <c r="N25" i="43" a="1"/>
  <c r="N25" i="43" s="1"/>
  <c r="N19" i="43" a="1"/>
  <c r="N19" i="43" s="1"/>
  <c r="N11" i="43" a="1"/>
  <c r="N11" i="43" s="1"/>
  <c r="N22" i="43" a="1"/>
  <c r="N22" i="43" s="1"/>
  <c r="N6" i="43" a="1"/>
  <c r="N6" i="43" s="1"/>
  <c r="N15" i="43" a="1"/>
  <c r="N15" i="43" s="1"/>
  <c r="N18" i="43" a="1"/>
  <c r="N18" i="43" s="1"/>
  <c r="N5" i="43" a="1"/>
  <c r="N5" i="43" s="1"/>
  <c r="N20" i="43" a="1"/>
  <c r="N20" i="43" s="1"/>
  <c r="N12" i="43" a="1"/>
  <c r="N12" i="43" s="1"/>
  <c r="N4" i="43" a="1"/>
  <c r="N4" i="43" s="1"/>
  <c r="N10" i="43" a="1"/>
  <c r="N10" i="43" s="1"/>
  <c r="N16" i="42" a="1"/>
  <c r="N16" i="42" s="1"/>
  <c r="N8" i="42" a="1"/>
  <c r="N8" i="42" s="1"/>
  <c r="N19" i="42" a="1"/>
  <c r="N19" i="42" s="1"/>
  <c r="N11" i="42" a="1"/>
  <c r="N11" i="42" s="1"/>
  <c r="N22" i="42" a="1"/>
  <c r="N22" i="42" s="1"/>
  <c r="N14" i="42" a="1"/>
  <c r="N14" i="42" s="1"/>
  <c r="N6" i="42" a="1"/>
  <c r="N6" i="42" s="1"/>
  <c r="N26" i="42" a="1"/>
  <c r="N26" i="42" s="1"/>
  <c r="N9" i="42" a="1"/>
  <c r="N9" i="42" s="1"/>
  <c r="N28" i="42" a="1"/>
  <c r="N28" i="42" s="1"/>
  <c r="D25" i="42"/>
  <c r="N17" i="42" a="1"/>
  <c r="N17" i="42" s="1"/>
  <c r="N20" i="42" a="1"/>
  <c r="N20" i="42" s="1"/>
  <c r="N12" i="42" a="1"/>
  <c r="N12" i="42" s="1"/>
  <c r="N4" i="42" a="1"/>
  <c r="N4" i="42" s="1"/>
  <c r="N23" i="42" a="1"/>
  <c r="N23" i="42" s="1"/>
  <c r="N15" i="42" a="1"/>
  <c r="N15" i="42" s="1"/>
  <c r="N7" i="42" a="1"/>
  <c r="N7" i="42" s="1"/>
  <c r="N29" i="42" a="1"/>
  <c r="N29" i="42" s="1"/>
  <c r="N25" i="42" a="1"/>
  <c r="N25" i="42" s="1"/>
  <c r="N18" i="42" a="1"/>
  <c r="N18" i="42" s="1"/>
  <c r="N13" i="42" a="1"/>
  <c r="N13" i="42" s="1"/>
  <c r="N21" i="42" a="1"/>
  <c r="N21" i="42" s="1"/>
  <c r="N10" i="42" a="1"/>
  <c r="N10" i="42" s="1"/>
  <c r="N27" i="42" a="1"/>
  <c r="N27" i="42" s="1"/>
  <c r="N5" i="42" a="1"/>
  <c r="N5" i="42" s="1"/>
  <c r="N16" i="41" a="1"/>
  <c r="N16" i="41" s="1"/>
  <c r="N8" i="41" a="1"/>
  <c r="N8" i="41" s="1"/>
  <c r="N17" i="41" a="1"/>
  <c r="N17" i="41" s="1"/>
  <c r="N20" i="41" a="1"/>
  <c r="N20" i="41" s="1"/>
  <c r="N28" i="41" a="1"/>
  <c r="N28" i="41" s="1"/>
  <c r="D25" i="41"/>
  <c r="N15" i="41" a="1"/>
  <c r="N15" i="41" s="1"/>
  <c r="N19" i="41" a="1"/>
  <c r="N19" i="41" s="1"/>
  <c r="N11" i="41" a="1"/>
  <c r="N11" i="41" s="1"/>
  <c r="N29" i="41" a="1"/>
  <c r="N29" i="41" s="1"/>
  <c r="N12" i="41" a="1"/>
  <c r="N12" i="41" s="1"/>
  <c r="N18" i="41" a="1"/>
  <c r="N18" i="41" s="1"/>
  <c r="N26" i="41" a="1"/>
  <c r="N26" i="41" s="1"/>
  <c r="N9" i="41" a="1"/>
  <c r="N9" i="41" s="1"/>
  <c r="N4" i="41" a="1"/>
  <c r="N4" i="41" s="1"/>
  <c r="N27" i="41" a="1"/>
  <c r="N27" i="41" s="1"/>
  <c r="N22" i="41" a="1"/>
  <c r="N22" i="41" s="1"/>
  <c r="N14" i="41" a="1"/>
  <c r="N14" i="41" s="1"/>
  <c r="N6" i="41" a="1"/>
  <c r="N6" i="41" s="1"/>
  <c r="N21" i="41" a="1"/>
  <c r="N21" i="41" s="1"/>
  <c r="N23" i="41" a="1"/>
  <c r="N23" i="41" s="1"/>
  <c r="N7" i="41" a="1"/>
  <c r="N7" i="41" s="1"/>
  <c r="N10" i="41" a="1"/>
  <c r="N10" i="41" s="1"/>
  <c r="N13" i="41" a="1"/>
  <c r="N13" i="41" s="1"/>
  <c r="N5" i="41" a="1"/>
  <c r="N5" i="41" s="1"/>
  <c r="N25" i="41" a="1"/>
  <c r="N25" i="41" s="1"/>
  <c r="N16" i="40" a="1"/>
  <c r="N16" i="40" s="1"/>
  <c r="N8" i="40" a="1"/>
  <c r="N8" i="40" s="1"/>
  <c r="N6" i="40" a="1"/>
  <c r="N6" i="40" s="1"/>
  <c r="N7" i="40" a="1"/>
  <c r="N7" i="40" s="1"/>
  <c r="N27" i="40" a="1"/>
  <c r="N27" i="40" s="1"/>
  <c r="N28" i="40" a="1"/>
  <c r="N28" i="40" s="1"/>
  <c r="D25" i="40"/>
  <c r="N19" i="40" a="1"/>
  <c r="N19" i="40" s="1"/>
  <c r="N11" i="40" a="1"/>
  <c r="N11" i="40" s="1"/>
  <c r="N22" i="40" a="1"/>
  <c r="N22" i="40" s="1"/>
  <c r="N14" i="40" a="1"/>
  <c r="N14" i="40" s="1"/>
  <c r="N26" i="40" a="1"/>
  <c r="N26" i="40" s="1"/>
  <c r="N15" i="40" a="1"/>
  <c r="N15" i="40" s="1"/>
  <c r="N10" i="40" a="1"/>
  <c r="N10" i="40" s="1"/>
  <c r="N17" i="40" a="1"/>
  <c r="N17" i="40" s="1"/>
  <c r="N9" i="40" a="1"/>
  <c r="N9" i="40" s="1"/>
  <c r="N29" i="40" a="1"/>
  <c r="N29" i="40" s="1"/>
  <c r="N20" i="40" a="1"/>
  <c r="N20" i="40" s="1"/>
  <c r="N12" i="40" a="1"/>
  <c r="N12" i="40" s="1"/>
  <c r="N4" i="40" a="1"/>
  <c r="N4" i="40" s="1"/>
  <c r="N23" i="40" a="1"/>
  <c r="N23" i="40" s="1"/>
  <c r="N25" i="40" a="1"/>
  <c r="N25" i="40" s="1"/>
  <c r="N13" i="40" a="1"/>
  <c r="N13" i="40" s="1"/>
  <c r="C4" i="18"/>
  <c r="D4" i="18" a="1"/>
  <c r="D4" i="18" s="1"/>
  <c r="C25" i="18"/>
  <c r="M4" i="18" a="1"/>
  <c r="M4" i="18" s="1"/>
  <c r="B5" i="45" l="1"/>
  <c r="O5" i="45" s="1" a="1"/>
  <c r="O5" i="45" s="1"/>
  <c r="P5" i="45" s="1"/>
  <c r="O4" i="45" a="1"/>
  <c r="O4" i="45" s="1"/>
  <c r="B26" i="45"/>
  <c r="O25" i="45" a="1"/>
  <c r="O25" i="45" s="1"/>
  <c r="P25" i="45" s="1"/>
  <c r="O26" i="44" a="1"/>
  <c r="O26" i="44" s="1"/>
  <c r="P26" i="44" s="1"/>
  <c r="B27" i="44"/>
  <c r="B5" i="44"/>
  <c r="B6" i="44" s="1"/>
  <c r="O4" i="44" a="1"/>
  <c r="O4" i="44" s="1"/>
  <c r="B26" i="44"/>
  <c r="O25" i="44" a="1"/>
  <c r="O25" i="44" s="1"/>
  <c r="P25" i="44" s="1"/>
  <c r="B26" i="43"/>
  <c r="O25" i="43" a="1"/>
  <c r="O25" i="43" s="1"/>
  <c r="P25" i="43" s="1"/>
  <c r="O26" i="43" a="1"/>
  <c r="O26" i="43" s="1"/>
  <c r="P26" i="43" s="1"/>
  <c r="B27" i="43"/>
  <c r="B28" i="43" s="1"/>
  <c r="O27" i="43" a="1"/>
  <c r="O27" i="43" s="1"/>
  <c r="P27" i="43" s="1"/>
  <c r="B5" i="43"/>
  <c r="O5" i="43" s="1" a="1"/>
  <c r="O5" i="43" s="1"/>
  <c r="P5" i="43" s="1"/>
  <c r="O4" i="43" a="1"/>
  <c r="O4" i="43" s="1"/>
  <c r="B5" i="42"/>
  <c r="O4" i="42" a="1"/>
  <c r="O4" i="42" s="1"/>
  <c r="B26" i="42"/>
  <c r="B27" i="42" s="1"/>
  <c r="O25" i="42" a="1"/>
  <c r="O25" i="42" s="1"/>
  <c r="P25" i="42" s="1"/>
  <c r="B5" i="41"/>
  <c r="O4" i="41" a="1"/>
  <c r="O4" i="41" s="1"/>
  <c r="B26" i="41"/>
  <c r="O26" i="41" s="1" a="1"/>
  <c r="O26" i="41" s="1"/>
  <c r="P26" i="41" s="1"/>
  <c r="O25" i="41" a="1"/>
  <c r="O25" i="41" s="1"/>
  <c r="P25" i="41" s="1"/>
  <c r="B6" i="41"/>
  <c r="O6" i="41" s="1" a="1"/>
  <c r="O6" i="41" s="1"/>
  <c r="P6" i="41" s="1"/>
  <c r="O5" i="41" a="1"/>
  <c r="O5" i="41" s="1"/>
  <c r="P5" i="41" s="1"/>
  <c r="O25" i="40" a="1"/>
  <c r="O25" i="40" s="1"/>
  <c r="P25" i="40" s="1"/>
  <c r="B26" i="40"/>
  <c r="B29" i="40"/>
  <c r="O29" i="40" s="1" a="1"/>
  <c r="O29" i="40" s="1"/>
  <c r="P29" i="40" s="1"/>
  <c r="B28" i="40"/>
  <c r="O27" i="40" a="1"/>
  <c r="O27" i="40" s="1"/>
  <c r="P27" i="40" s="1"/>
  <c r="O26" i="40" a="1"/>
  <c r="O26" i="40" s="1"/>
  <c r="P26" i="40" s="1"/>
  <c r="B27" i="40"/>
  <c r="B5" i="40"/>
  <c r="O4" i="40" a="1"/>
  <c r="O4" i="40" s="1"/>
  <c r="D25" i="18"/>
  <c r="N7" i="18" a="1"/>
  <c r="N7" i="18" s="1"/>
  <c r="N11" i="18" a="1"/>
  <c r="N11" i="18" s="1"/>
  <c r="N27" i="18" a="1"/>
  <c r="N27" i="18" s="1"/>
  <c r="N28" i="18" a="1"/>
  <c r="N28" i="18" s="1"/>
  <c r="N29" i="18" a="1"/>
  <c r="N29" i="18" s="1"/>
  <c r="N25" i="18" a="1"/>
  <c r="N25" i="18" s="1"/>
  <c r="N19" i="18" a="1"/>
  <c r="N19" i="18" s="1"/>
  <c r="N10" i="18" a="1"/>
  <c r="N10" i="18" s="1"/>
  <c r="N23" i="18" a="1"/>
  <c r="N23" i="18" s="1"/>
  <c r="N6" i="18" a="1"/>
  <c r="N6" i="18" s="1"/>
  <c r="N4" i="18" a="1"/>
  <c r="N4" i="18" s="1"/>
  <c r="O4" i="18" s="1" a="1"/>
  <c r="O4" i="18" s="1"/>
  <c r="N8" i="18" a="1"/>
  <c r="N8" i="18" s="1"/>
  <c r="N26" i="18" a="1"/>
  <c r="N26" i="18" s="1"/>
  <c r="N12" i="18" a="1"/>
  <c r="N12" i="18" s="1"/>
  <c r="N13" i="18" a="1"/>
  <c r="N13" i="18" s="1"/>
  <c r="N17" i="18" a="1"/>
  <c r="N17" i="18" s="1"/>
  <c r="N18" i="18" a="1"/>
  <c r="N18" i="18" s="1"/>
  <c r="N20" i="18" a="1"/>
  <c r="N20" i="18" s="1"/>
  <c r="N22" i="18" a="1"/>
  <c r="N22" i="18" s="1"/>
  <c r="R2" i="18"/>
  <c r="Q2" i="18"/>
  <c r="M25" i="18"/>
  <c r="C26" i="45" l="1"/>
  <c r="R4" i="45"/>
  <c r="Q4" i="45"/>
  <c r="S4" i="45" s="1"/>
  <c r="P4" i="45"/>
  <c r="O26" i="45" a="1"/>
  <c r="O26" i="45" s="1"/>
  <c r="P26" i="45" s="1"/>
  <c r="Q5" i="45"/>
  <c r="R5" i="45"/>
  <c r="C5" i="45"/>
  <c r="B27" i="45"/>
  <c r="B6" i="45"/>
  <c r="C6" i="44"/>
  <c r="O6" i="44" a="1"/>
  <c r="O6" i="44" s="1"/>
  <c r="P6" i="44" s="1"/>
  <c r="B7" i="44"/>
  <c r="C27" i="44"/>
  <c r="B28" i="44"/>
  <c r="O27" i="44" a="1"/>
  <c r="O27" i="44" s="1"/>
  <c r="P27" i="44" s="1"/>
  <c r="C26" i="44"/>
  <c r="R4" i="44"/>
  <c r="R5" i="44" s="1"/>
  <c r="R6" i="44" s="1"/>
  <c r="Q4" i="44"/>
  <c r="S4" i="44" s="1"/>
  <c r="P4" i="44"/>
  <c r="O5" i="44" a="1"/>
  <c r="O5" i="44" s="1"/>
  <c r="P5" i="44" s="1"/>
  <c r="C5" i="44"/>
  <c r="C28" i="43"/>
  <c r="O28" i="43" a="1"/>
  <c r="O28" i="43" s="1"/>
  <c r="P28" i="43" s="1"/>
  <c r="B29" i="43"/>
  <c r="Q4" i="43"/>
  <c r="P4" i="43"/>
  <c r="R4" i="43"/>
  <c r="C27" i="43"/>
  <c r="Q5" i="43"/>
  <c r="C5" i="43"/>
  <c r="R5" i="43"/>
  <c r="B6" i="43"/>
  <c r="C26" i="43"/>
  <c r="C27" i="42"/>
  <c r="O27" i="42" a="1"/>
  <c r="O27" i="42" s="1"/>
  <c r="P27" i="42" s="1"/>
  <c r="B28" i="42"/>
  <c r="C5" i="42"/>
  <c r="O5" i="42" a="1"/>
  <c r="O5" i="42" s="1"/>
  <c r="P5" i="42" s="1"/>
  <c r="B6" i="42"/>
  <c r="C26" i="42"/>
  <c r="O26" i="42" a="1"/>
  <c r="O26" i="42" s="1"/>
  <c r="P26" i="42" s="1"/>
  <c r="R4" i="42"/>
  <c r="R5" i="42" s="1"/>
  <c r="Q4" i="42"/>
  <c r="S4" i="42" s="1"/>
  <c r="P4" i="42"/>
  <c r="B7" i="41"/>
  <c r="C26" i="41"/>
  <c r="R4" i="41"/>
  <c r="Q4" i="41"/>
  <c r="S4" i="41" s="1"/>
  <c r="P4" i="41"/>
  <c r="C6" i="41"/>
  <c r="R5" i="41"/>
  <c r="R6" i="41" s="1"/>
  <c r="Q5" i="41"/>
  <c r="Q6" i="41" s="1"/>
  <c r="C5" i="41"/>
  <c r="B27" i="41"/>
  <c r="C5" i="40"/>
  <c r="O5" i="40" a="1"/>
  <c r="O5" i="40" s="1"/>
  <c r="P5" i="40" s="1"/>
  <c r="B6" i="40"/>
  <c r="C28" i="40"/>
  <c r="C26" i="40"/>
  <c r="O28" i="40" a="1"/>
  <c r="O28" i="40" s="1"/>
  <c r="P28" i="40" s="1"/>
  <c r="C27" i="40"/>
  <c r="C29" i="40"/>
  <c r="R4" i="40"/>
  <c r="R5" i="40" s="1"/>
  <c r="Q4" i="40"/>
  <c r="S4" i="40" s="1"/>
  <c r="P4" i="40"/>
  <c r="R4" i="18"/>
  <c r="Q4" i="18"/>
  <c r="S4" i="18" s="1"/>
  <c r="P4" i="18"/>
  <c r="B5" i="18"/>
  <c r="B26" i="18"/>
  <c r="O25" i="18" a="1"/>
  <c r="O25" i="18" s="1"/>
  <c r="C6" i="45" l="1"/>
  <c r="O6" i="45" a="1"/>
  <c r="O6" i="45" s="1"/>
  <c r="P6" i="45" s="1"/>
  <c r="B7" i="45"/>
  <c r="C27" i="45"/>
  <c r="B28" i="45"/>
  <c r="O27" i="45" a="1"/>
  <c r="O27" i="45" s="1"/>
  <c r="P27" i="45" s="1"/>
  <c r="S5" i="45"/>
  <c r="Q5" i="44"/>
  <c r="Q6" i="44" s="1"/>
  <c r="S5" i="44"/>
  <c r="S6" i="44" s="1"/>
  <c r="C28" i="44"/>
  <c r="O28" i="44" a="1"/>
  <c r="O28" i="44" s="1"/>
  <c r="P28" i="44" s="1"/>
  <c r="B29" i="44"/>
  <c r="C7" i="44"/>
  <c r="B8" i="44"/>
  <c r="O7" i="44" a="1"/>
  <c r="O7" i="44" s="1"/>
  <c r="P7" i="44" s="1"/>
  <c r="C29" i="43"/>
  <c r="O29" i="43" a="1"/>
  <c r="O29" i="43" s="1"/>
  <c r="P29" i="43" s="1"/>
  <c r="C6" i="43"/>
  <c r="O6" i="43" a="1"/>
  <c r="O6" i="43" s="1"/>
  <c r="P6" i="43" s="1"/>
  <c r="B7" i="43"/>
  <c r="S4" i="43"/>
  <c r="S5" i="43" s="1"/>
  <c r="C6" i="42"/>
  <c r="O6" i="42" a="1"/>
  <c r="O6" i="42" s="1"/>
  <c r="P6" i="42" s="1"/>
  <c r="B7" i="42"/>
  <c r="Q5" i="42"/>
  <c r="Q6" i="42" s="1"/>
  <c r="C28" i="42"/>
  <c r="O28" i="42" a="1"/>
  <c r="O28" i="42" s="1"/>
  <c r="P28" i="42" s="1"/>
  <c r="B29" i="42"/>
  <c r="S5" i="42"/>
  <c r="C27" i="41"/>
  <c r="O27" i="41" a="1"/>
  <c r="O27" i="41" s="1"/>
  <c r="P27" i="41" s="1"/>
  <c r="B28" i="41"/>
  <c r="S5" i="41"/>
  <c r="S6" i="41" s="1"/>
  <c r="C7" i="41"/>
  <c r="B8" i="41"/>
  <c r="O7" i="41" a="1"/>
  <c r="O7" i="41" s="1"/>
  <c r="P7" i="41" s="1"/>
  <c r="C6" i="40"/>
  <c r="B7" i="40"/>
  <c r="O6" i="40" a="1"/>
  <c r="O6" i="40" s="1"/>
  <c r="P6" i="40" s="1"/>
  <c r="Q5" i="40"/>
  <c r="Q6" i="40" s="1"/>
  <c r="N5" i="18" a="1"/>
  <c r="N5" i="18" s="1"/>
  <c r="B6" i="18" s="1"/>
  <c r="B27" i="18"/>
  <c r="C26" i="18"/>
  <c r="C5" i="18"/>
  <c r="S6" i="45" l="1"/>
  <c r="C28" i="45"/>
  <c r="B29" i="45"/>
  <c r="O28" i="45" a="1"/>
  <c r="O28" i="45" s="1"/>
  <c r="P28" i="45" s="1"/>
  <c r="C7" i="45"/>
  <c r="O7" i="45" a="1"/>
  <c r="O7" i="45" s="1"/>
  <c r="P7" i="45" s="1"/>
  <c r="B8" i="45"/>
  <c r="Q6" i="45"/>
  <c r="Q7" i="45" s="1"/>
  <c r="R6" i="45"/>
  <c r="R7" i="45" s="1"/>
  <c r="C8" i="44"/>
  <c r="O8" i="44" a="1"/>
  <c r="O8" i="44" s="1"/>
  <c r="P8" i="44" s="1"/>
  <c r="B9" i="44"/>
  <c r="R7" i="44"/>
  <c r="R8" i="44" s="1"/>
  <c r="Q7" i="44"/>
  <c r="Q8" i="44" s="1"/>
  <c r="C29" i="44"/>
  <c r="O29" i="44" a="1"/>
  <c r="O29" i="44" s="1"/>
  <c r="P29" i="44" s="1"/>
  <c r="S7" i="44"/>
  <c r="C7" i="43"/>
  <c r="B8" i="43"/>
  <c r="O7" i="43" a="1"/>
  <c r="O7" i="43" s="1"/>
  <c r="P7" i="43" s="1"/>
  <c r="Q6" i="43"/>
  <c r="Q7" i="43" s="1"/>
  <c r="R6" i="43"/>
  <c r="S6" i="43" s="1"/>
  <c r="C29" i="42"/>
  <c r="O29" i="42" a="1"/>
  <c r="O29" i="42" s="1"/>
  <c r="P29" i="42" s="1"/>
  <c r="C7" i="42"/>
  <c r="O7" i="42" a="1"/>
  <c r="O7" i="42" s="1"/>
  <c r="P7" i="42" s="1"/>
  <c r="B8" i="42"/>
  <c r="R6" i="42"/>
  <c r="S6" i="42" s="1"/>
  <c r="C8" i="41"/>
  <c r="O8" i="41" a="1"/>
  <c r="O8" i="41" s="1"/>
  <c r="P8" i="41" s="1"/>
  <c r="B9" i="41"/>
  <c r="R7" i="41"/>
  <c r="R8" i="41" s="1"/>
  <c r="Q7" i="41"/>
  <c r="S7" i="41" s="1"/>
  <c r="C28" i="41"/>
  <c r="B29" i="41"/>
  <c r="O28" i="41" a="1"/>
  <c r="O28" i="41" s="1"/>
  <c r="P28" i="41" s="1"/>
  <c r="S5" i="40"/>
  <c r="C7" i="40"/>
  <c r="O7" i="40" a="1"/>
  <c r="O7" i="40" s="1"/>
  <c r="P7" i="40" s="1"/>
  <c r="B8" i="40"/>
  <c r="R6" i="40"/>
  <c r="R7" i="40" s="1"/>
  <c r="O5" i="18" a="1"/>
  <c r="O5" i="18" s="1"/>
  <c r="B28" i="18"/>
  <c r="O28" i="18" s="1" a="1"/>
  <c r="O28" i="18" s="1"/>
  <c r="O27" i="18" a="1"/>
  <c r="O27" i="18" s="1"/>
  <c r="O26" i="18" a="1"/>
  <c r="O26" i="18" s="1"/>
  <c r="B7" i="18"/>
  <c r="B29" i="18"/>
  <c r="C27" i="18"/>
  <c r="S7" i="45" l="1"/>
  <c r="C8" i="45"/>
  <c r="O8" i="45" a="1"/>
  <c r="O8" i="45" s="1"/>
  <c r="P8" i="45" s="1"/>
  <c r="B9" i="45"/>
  <c r="C29" i="45"/>
  <c r="O29" i="45" a="1"/>
  <c r="O29" i="45" s="1"/>
  <c r="P29" i="45" s="1"/>
  <c r="C9" i="44"/>
  <c r="B10" i="44"/>
  <c r="O9" i="44" a="1"/>
  <c r="O9" i="44" s="1"/>
  <c r="P9" i="44" s="1"/>
  <c r="S8" i="44"/>
  <c r="R7" i="43"/>
  <c r="S7" i="43" s="1"/>
  <c r="C8" i="43"/>
  <c r="B9" i="43"/>
  <c r="O8" i="43" a="1"/>
  <c r="O8" i="43" s="1"/>
  <c r="P8" i="43" s="1"/>
  <c r="C8" i="42"/>
  <c r="O8" i="42" a="1"/>
  <c r="O8" i="42" s="1"/>
  <c r="P8" i="42" s="1"/>
  <c r="B9" i="42"/>
  <c r="R7" i="42"/>
  <c r="R8" i="42" s="1"/>
  <c r="Q7" i="42"/>
  <c r="S7" i="42" s="1"/>
  <c r="C9" i="41"/>
  <c r="B10" i="41"/>
  <c r="O9" i="41" a="1"/>
  <c r="O9" i="41" s="1"/>
  <c r="P9" i="41" s="1"/>
  <c r="C29" i="41"/>
  <c r="O29" i="41" a="1"/>
  <c r="O29" i="41" s="1"/>
  <c r="P29" i="41" s="1"/>
  <c r="Q8" i="41"/>
  <c r="S8" i="41" s="1"/>
  <c r="C8" i="40"/>
  <c r="B9" i="40"/>
  <c r="O8" i="40" a="1"/>
  <c r="O8" i="40" s="1"/>
  <c r="P8" i="40" s="1"/>
  <c r="Q7" i="40"/>
  <c r="Q8" i="40" s="1"/>
  <c r="S6" i="40"/>
  <c r="S7" i="40" s="1"/>
  <c r="P5" i="18"/>
  <c r="Q5" i="18"/>
  <c r="R5" i="18"/>
  <c r="O6" i="18" a="1"/>
  <c r="O6" i="18" s="1"/>
  <c r="P6" i="18" s="1"/>
  <c r="B8" i="18"/>
  <c r="C28" i="18"/>
  <c r="C6" i="18"/>
  <c r="R9" i="45" l="1"/>
  <c r="C9" i="45"/>
  <c r="O9" i="45" a="1"/>
  <c r="O9" i="45" s="1"/>
  <c r="P9" i="45" s="1"/>
  <c r="B10" i="45"/>
  <c r="Q8" i="45"/>
  <c r="Q9" i="45" s="1"/>
  <c r="R8" i="45"/>
  <c r="C10" i="44"/>
  <c r="O10" i="44" a="1"/>
  <c r="O10" i="44" s="1"/>
  <c r="P10" i="44" s="1"/>
  <c r="B11" i="44"/>
  <c r="Q9" i="44"/>
  <c r="S9" i="44" s="1"/>
  <c r="R9" i="44"/>
  <c r="R10" i="44" s="1"/>
  <c r="C9" i="43"/>
  <c r="O9" i="43" a="1"/>
  <c r="O9" i="43" s="1"/>
  <c r="P9" i="43" s="1"/>
  <c r="B10" i="43"/>
  <c r="Q8" i="43"/>
  <c r="S8" i="43" s="1"/>
  <c r="R8" i="43"/>
  <c r="R9" i="43" s="1"/>
  <c r="C9" i="42"/>
  <c r="B10" i="42"/>
  <c r="O9" i="42" a="1"/>
  <c r="O9" i="42" s="1"/>
  <c r="P9" i="42" s="1"/>
  <c r="Q8" i="42"/>
  <c r="S8" i="42" s="1"/>
  <c r="C10" i="41"/>
  <c r="B11" i="41"/>
  <c r="O10" i="41" a="1"/>
  <c r="O10" i="41" s="1"/>
  <c r="P10" i="41" s="1"/>
  <c r="Q9" i="41"/>
  <c r="S9" i="41" s="1"/>
  <c r="R9" i="41"/>
  <c r="R10" i="41" s="1"/>
  <c r="C9" i="40"/>
  <c r="O9" i="40" a="1"/>
  <c r="O9" i="40" s="1"/>
  <c r="P9" i="40" s="1"/>
  <c r="B10" i="40"/>
  <c r="R8" i="40"/>
  <c r="S8" i="40" s="1"/>
  <c r="S5" i="18"/>
  <c r="R6" i="18"/>
  <c r="Q6" i="18"/>
  <c r="O7" i="18" a="1"/>
  <c r="O7" i="18" s="1"/>
  <c r="P7" i="18" s="1"/>
  <c r="B9" i="18"/>
  <c r="C7" i="18"/>
  <c r="S8" i="45" l="1"/>
  <c r="S9" i="45" s="1"/>
  <c r="C10" i="45"/>
  <c r="O10" i="45" a="1"/>
  <c r="O10" i="45" s="1"/>
  <c r="P10" i="45" s="1"/>
  <c r="B11" i="45"/>
  <c r="C11" i="44"/>
  <c r="B12" i="44"/>
  <c r="O11" i="44" a="1"/>
  <c r="O11" i="44" s="1"/>
  <c r="P11" i="44" s="1"/>
  <c r="Q10" i="44"/>
  <c r="S10" i="44" s="1"/>
  <c r="Q9" i="43"/>
  <c r="S9" i="43" s="1"/>
  <c r="C10" i="43"/>
  <c r="B11" i="43"/>
  <c r="O10" i="43" a="1"/>
  <c r="O10" i="43" s="1"/>
  <c r="P10" i="43" s="1"/>
  <c r="C10" i="42"/>
  <c r="B11" i="42"/>
  <c r="O10" i="42" a="1"/>
  <c r="O10" i="42" s="1"/>
  <c r="P10" i="42" s="1"/>
  <c r="Q9" i="42"/>
  <c r="S9" i="42" s="1"/>
  <c r="R9" i="42"/>
  <c r="R10" i="42" s="1"/>
  <c r="C11" i="41"/>
  <c r="O11" i="41" a="1"/>
  <c r="O11" i="41" s="1"/>
  <c r="P11" i="41" s="1"/>
  <c r="B12" i="41"/>
  <c r="Q10" i="41"/>
  <c r="S10" i="41" s="1"/>
  <c r="C10" i="40"/>
  <c r="B11" i="40"/>
  <c r="O10" i="40" a="1"/>
  <c r="O10" i="40" s="1"/>
  <c r="P10" i="40" s="1"/>
  <c r="Q9" i="40"/>
  <c r="S9" i="40" s="1"/>
  <c r="R9" i="40"/>
  <c r="R10" i="40" s="1"/>
  <c r="S6" i="18"/>
  <c r="R7" i="18"/>
  <c r="Q7" i="18"/>
  <c r="N9" i="18" a="1"/>
  <c r="N9" i="18" s="1"/>
  <c r="O9" i="18" s="1" a="1"/>
  <c r="O9" i="18" s="1"/>
  <c r="P9" i="18" s="1"/>
  <c r="O8" i="18" a="1"/>
  <c r="O8" i="18" s="1"/>
  <c r="P8" i="18" s="1"/>
  <c r="C8" i="18"/>
  <c r="C9" i="18"/>
  <c r="O29" i="18" a="1"/>
  <c r="O29" i="18" s="1"/>
  <c r="S10" i="45" l="1"/>
  <c r="C11" i="45"/>
  <c r="O11" i="45" a="1"/>
  <c r="O11" i="45" s="1"/>
  <c r="P11" i="45" s="1"/>
  <c r="B12" i="45"/>
  <c r="Q10" i="45"/>
  <c r="Q11" i="45" s="1"/>
  <c r="R10" i="45"/>
  <c r="R11" i="45" s="1"/>
  <c r="C12" i="44"/>
  <c r="O12" i="44" a="1"/>
  <c r="O12" i="44" s="1"/>
  <c r="P12" i="44" s="1"/>
  <c r="B13" i="44"/>
  <c r="R11" i="44"/>
  <c r="R12" i="44" s="1"/>
  <c r="Q11" i="44"/>
  <c r="S11" i="44" s="1"/>
  <c r="C11" i="43"/>
  <c r="O11" i="43" a="1"/>
  <c r="O11" i="43" s="1"/>
  <c r="P11" i="43" s="1"/>
  <c r="B12" i="43"/>
  <c r="Q10" i="43"/>
  <c r="S10" i="43" s="1"/>
  <c r="R10" i="43"/>
  <c r="R11" i="43" s="1"/>
  <c r="C11" i="42"/>
  <c r="O11" i="42" a="1"/>
  <c r="O11" i="42" s="1"/>
  <c r="P11" i="42" s="1"/>
  <c r="B12" i="42"/>
  <c r="Q10" i="42"/>
  <c r="S10" i="42" s="1"/>
  <c r="C12" i="41"/>
  <c r="O12" i="41" a="1"/>
  <c r="O12" i="41" s="1"/>
  <c r="P12" i="41" s="1"/>
  <c r="B13" i="41"/>
  <c r="Q11" i="41"/>
  <c r="S11" i="41" s="1"/>
  <c r="R11" i="41"/>
  <c r="R12" i="41" s="1"/>
  <c r="S10" i="40"/>
  <c r="Q10" i="40"/>
  <c r="C11" i="40"/>
  <c r="O11" i="40" a="1"/>
  <c r="O11" i="40" s="1"/>
  <c r="P11" i="40" s="1"/>
  <c r="B12" i="40"/>
  <c r="S7" i="18"/>
  <c r="Q8" i="18"/>
  <c r="Q9" i="18" s="1"/>
  <c r="R8" i="18"/>
  <c r="R9" i="18" s="1"/>
  <c r="B10" i="18"/>
  <c r="C29" i="18"/>
  <c r="S11" i="45" l="1"/>
  <c r="C12" i="45"/>
  <c r="O12" i="45" a="1"/>
  <c r="O12" i="45" s="1"/>
  <c r="P12" i="45" s="1"/>
  <c r="B13" i="45"/>
  <c r="C13" i="44"/>
  <c r="O13" i="44" a="1"/>
  <c r="O13" i="44" s="1"/>
  <c r="P13" i="44" s="1"/>
  <c r="B14" i="44"/>
  <c r="Q12" i="44"/>
  <c r="S12" i="44" s="1"/>
  <c r="C12" i="43"/>
  <c r="O12" i="43" a="1"/>
  <c r="O12" i="43" s="1"/>
  <c r="P12" i="43" s="1"/>
  <c r="B13" i="43"/>
  <c r="Q11" i="43"/>
  <c r="S11" i="43" s="1"/>
  <c r="C12" i="42"/>
  <c r="B13" i="42"/>
  <c r="O12" i="42" a="1"/>
  <c r="O12" i="42" s="1"/>
  <c r="P12" i="42" s="1"/>
  <c r="R11" i="42"/>
  <c r="R12" i="42" s="1"/>
  <c r="Q11" i="42"/>
  <c r="S11" i="42" s="1"/>
  <c r="C13" i="41"/>
  <c r="O13" i="41" a="1"/>
  <c r="O13" i="41" s="1"/>
  <c r="P13" i="41" s="1"/>
  <c r="B14" i="41"/>
  <c r="Q12" i="41"/>
  <c r="S12" i="41" s="1"/>
  <c r="Q11" i="40"/>
  <c r="R11" i="40"/>
  <c r="C12" i="40"/>
  <c r="B13" i="40"/>
  <c r="O12" i="40" a="1"/>
  <c r="O12" i="40" s="1"/>
  <c r="P12" i="40" s="1"/>
  <c r="S11" i="40"/>
  <c r="S8" i="18"/>
  <c r="S9" i="18" s="1"/>
  <c r="B11" i="18"/>
  <c r="O10" i="18" a="1"/>
  <c r="O10" i="18" s="1"/>
  <c r="P10" i="18" s="1"/>
  <c r="C10" i="18"/>
  <c r="S12" i="45" l="1"/>
  <c r="C13" i="45"/>
  <c r="B14" i="45"/>
  <c r="O13" i="45" a="1"/>
  <c r="O13" i="45" s="1"/>
  <c r="P13" i="45" s="1"/>
  <c r="R12" i="45"/>
  <c r="R13" i="45" s="1"/>
  <c r="Q12" i="45"/>
  <c r="Q13" i="45" s="1"/>
  <c r="C14" i="44"/>
  <c r="B15" i="44"/>
  <c r="O14" i="44" a="1"/>
  <c r="O14" i="44" s="1"/>
  <c r="P14" i="44" s="1"/>
  <c r="R13" i="44"/>
  <c r="R14" i="44" s="1"/>
  <c r="Q13" i="44"/>
  <c r="S13" i="44" s="1"/>
  <c r="C13" i="43"/>
  <c r="B14" i="43"/>
  <c r="O13" i="43" a="1"/>
  <c r="O13" i="43" s="1"/>
  <c r="P13" i="43" s="1"/>
  <c r="R12" i="43"/>
  <c r="R13" i="43" s="1"/>
  <c r="Q12" i="43"/>
  <c r="S12" i="43" s="1"/>
  <c r="C13" i="42"/>
  <c r="B14" i="42"/>
  <c r="O13" i="42" a="1"/>
  <c r="O13" i="42" s="1"/>
  <c r="P13" i="42" s="1"/>
  <c r="Q12" i="42"/>
  <c r="S12" i="42" s="1"/>
  <c r="C14" i="41"/>
  <c r="O14" i="41" a="1"/>
  <c r="O14" i="41" s="1"/>
  <c r="P14" i="41" s="1"/>
  <c r="B15" i="41"/>
  <c r="Q13" i="41"/>
  <c r="S13" i="41" s="1"/>
  <c r="R13" i="41"/>
  <c r="R14" i="41" s="1"/>
  <c r="C13" i="40"/>
  <c r="O13" i="40" a="1"/>
  <c r="O13" i="40" s="1"/>
  <c r="P13" i="40" s="1"/>
  <c r="B14" i="40"/>
  <c r="Q12" i="40"/>
  <c r="S12" i="40" s="1"/>
  <c r="R12" i="40"/>
  <c r="R13" i="40" s="1"/>
  <c r="R10" i="18"/>
  <c r="Q10" i="18"/>
  <c r="B12" i="18"/>
  <c r="O11" i="18" a="1"/>
  <c r="O11" i="18" s="1"/>
  <c r="P11" i="18" s="1"/>
  <c r="S13" i="45" l="1"/>
  <c r="C14" i="45"/>
  <c r="O14" i="45" a="1"/>
  <c r="O14" i="45" s="1"/>
  <c r="P14" i="45" s="1"/>
  <c r="B15" i="45"/>
  <c r="C15" i="44"/>
  <c r="B16" i="44"/>
  <c r="O15" i="44" a="1"/>
  <c r="O15" i="44" s="1"/>
  <c r="P15" i="44" s="1"/>
  <c r="Q14" i="44"/>
  <c r="S14" i="44" s="1"/>
  <c r="C14" i="43"/>
  <c r="B15" i="43"/>
  <c r="O14" i="43" a="1"/>
  <c r="O14" i="43" s="1"/>
  <c r="P14" i="43" s="1"/>
  <c r="Q13" i="43"/>
  <c r="S13" i="43" s="1"/>
  <c r="C14" i="42"/>
  <c r="B15" i="42"/>
  <c r="O14" i="42" a="1"/>
  <c r="O14" i="42" s="1"/>
  <c r="P14" i="42" s="1"/>
  <c r="Q13" i="42"/>
  <c r="S13" i="42" s="1"/>
  <c r="R13" i="42"/>
  <c r="R14" i="42" s="1"/>
  <c r="C15" i="41"/>
  <c r="O15" i="41" a="1"/>
  <c r="O15" i="41" s="1"/>
  <c r="P15" i="41" s="1"/>
  <c r="B16" i="41"/>
  <c r="Q14" i="41"/>
  <c r="S14" i="41" s="1"/>
  <c r="C14" i="40"/>
  <c r="B15" i="40"/>
  <c r="O14" i="40" a="1"/>
  <c r="O14" i="40" s="1"/>
  <c r="P14" i="40" s="1"/>
  <c r="Q13" i="40"/>
  <c r="S13" i="40" s="1"/>
  <c r="S10" i="18"/>
  <c r="Q11" i="18"/>
  <c r="R11" i="18"/>
  <c r="B13" i="18"/>
  <c r="C11" i="18"/>
  <c r="R14" i="45" l="1"/>
  <c r="R15" i="45" s="1"/>
  <c r="C15" i="45"/>
  <c r="O15" i="45" a="1"/>
  <c r="O15" i="45" s="1"/>
  <c r="P15" i="45" s="1"/>
  <c r="B16" i="45"/>
  <c r="Q14" i="45"/>
  <c r="Q15" i="45" s="1"/>
  <c r="R15" i="44"/>
  <c r="C16" i="44"/>
  <c r="B17" i="44"/>
  <c r="O16" i="44" a="1"/>
  <c r="O16" i="44" s="1"/>
  <c r="P16" i="44" s="1"/>
  <c r="Q15" i="44"/>
  <c r="S15" i="44" s="1"/>
  <c r="R14" i="43"/>
  <c r="C15" i="43"/>
  <c r="O15" i="43" a="1"/>
  <c r="O15" i="43" s="1"/>
  <c r="P15" i="43" s="1"/>
  <c r="B16" i="43"/>
  <c r="Q14" i="43"/>
  <c r="S14" i="43" s="1"/>
  <c r="C15" i="42"/>
  <c r="O15" i="42" a="1"/>
  <c r="O15" i="42" s="1"/>
  <c r="P15" i="42" s="1"/>
  <c r="B16" i="42"/>
  <c r="Q14" i="42"/>
  <c r="S14" i="42" s="1"/>
  <c r="R15" i="41"/>
  <c r="C16" i="41"/>
  <c r="B17" i="41"/>
  <c r="O16" i="41" a="1"/>
  <c r="O16" i="41" s="1"/>
  <c r="P16" i="41" s="1"/>
  <c r="Q15" i="41"/>
  <c r="S15" i="41" s="1"/>
  <c r="R14" i="40"/>
  <c r="C15" i="40"/>
  <c r="B16" i="40"/>
  <c r="O15" i="40" a="1"/>
  <c r="O15" i="40" s="1"/>
  <c r="P15" i="40" s="1"/>
  <c r="Q14" i="40"/>
  <c r="S14" i="40" s="1"/>
  <c r="S11" i="18"/>
  <c r="B14" i="18"/>
  <c r="N14" i="18" s="1" a="1"/>
  <c r="N14" i="18" s="1"/>
  <c r="B15" i="18" s="1"/>
  <c r="N15" i="18" s="1" a="1"/>
  <c r="N15" i="18" s="1"/>
  <c r="O12" i="18" a="1"/>
  <c r="O12" i="18" s="1"/>
  <c r="S14" i="45" l="1"/>
  <c r="S15" i="45" s="1"/>
  <c r="C16" i="45"/>
  <c r="O16" i="45" a="1"/>
  <c r="O16" i="45" s="1"/>
  <c r="P16" i="45" s="1"/>
  <c r="B17" i="45"/>
  <c r="C17" i="44"/>
  <c r="B18" i="44"/>
  <c r="O17" i="44" a="1"/>
  <c r="O17" i="44" s="1"/>
  <c r="P17" i="44" s="1"/>
  <c r="Q16" i="44"/>
  <c r="S16" i="44" s="1"/>
  <c r="R16" i="44"/>
  <c r="R17" i="44" s="1"/>
  <c r="C16" i="43"/>
  <c r="O16" i="43" a="1"/>
  <c r="O16" i="43" s="1"/>
  <c r="P16" i="43" s="1"/>
  <c r="B17" i="43"/>
  <c r="R15" i="43"/>
  <c r="R16" i="43" s="1"/>
  <c r="Q15" i="43"/>
  <c r="S15" i="43" s="1"/>
  <c r="C16" i="42"/>
  <c r="B17" i="42"/>
  <c r="O16" i="42" a="1"/>
  <c r="O16" i="42" s="1"/>
  <c r="P16" i="42" s="1"/>
  <c r="R15" i="42"/>
  <c r="R16" i="42" s="1"/>
  <c r="Q15" i="42"/>
  <c r="S15" i="42" s="1"/>
  <c r="R16" i="41"/>
  <c r="C17" i="41"/>
  <c r="O17" i="41" a="1"/>
  <c r="O17" i="41" s="1"/>
  <c r="P17" i="41" s="1"/>
  <c r="B18" i="41"/>
  <c r="Q16" i="41"/>
  <c r="S16" i="41" s="1"/>
  <c r="R15" i="40"/>
  <c r="C16" i="40"/>
  <c r="B17" i="40"/>
  <c r="O16" i="40" a="1"/>
  <c r="O16" i="40" s="1"/>
  <c r="P16" i="40" s="1"/>
  <c r="Q15" i="40"/>
  <c r="S15" i="40" s="1"/>
  <c r="P12" i="18"/>
  <c r="Q12" i="18"/>
  <c r="R12" i="18"/>
  <c r="B16" i="18"/>
  <c r="N16" i="18" s="1" a="1"/>
  <c r="N16" i="18" s="1"/>
  <c r="C12" i="18"/>
  <c r="Q16" i="45" l="1"/>
  <c r="R16" i="45"/>
  <c r="C17" i="45"/>
  <c r="O17" i="45" a="1"/>
  <c r="O17" i="45" s="1"/>
  <c r="P17" i="45" s="1"/>
  <c r="B18" i="45"/>
  <c r="S16" i="45"/>
  <c r="C18" i="44"/>
  <c r="O18" i="44" a="1"/>
  <c r="O18" i="44" s="1"/>
  <c r="P18" i="44" s="1"/>
  <c r="B19" i="44"/>
  <c r="Q17" i="44"/>
  <c r="S17" i="44" s="1"/>
  <c r="C17" i="43"/>
  <c r="O17" i="43" a="1"/>
  <c r="O17" i="43" s="1"/>
  <c r="P17" i="43" s="1"/>
  <c r="B18" i="43"/>
  <c r="Q16" i="43"/>
  <c r="S16" i="43" s="1"/>
  <c r="C17" i="42"/>
  <c r="O17" i="42" a="1"/>
  <c r="O17" i="42" s="1"/>
  <c r="P17" i="42" s="1"/>
  <c r="B18" i="42"/>
  <c r="Q16" i="42"/>
  <c r="S16" i="42" s="1"/>
  <c r="Q17" i="41"/>
  <c r="S17" i="41" s="1"/>
  <c r="C18" i="41"/>
  <c r="O18" i="41" a="1"/>
  <c r="O18" i="41" s="1"/>
  <c r="P18" i="41" s="1"/>
  <c r="B19" i="41"/>
  <c r="R17" i="41"/>
  <c r="R18" i="41" s="1"/>
  <c r="C17" i="40"/>
  <c r="O17" i="40" a="1"/>
  <c r="O17" i="40" s="1"/>
  <c r="P17" i="40" s="1"/>
  <c r="B18" i="40"/>
  <c r="Q16" i="40"/>
  <c r="S16" i="40" s="1"/>
  <c r="R16" i="40"/>
  <c r="R17" i="40" s="1"/>
  <c r="S12" i="18"/>
  <c r="B17" i="18"/>
  <c r="O13" i="18" a="1"/>
  <c r="O13" i="18" s="1"/>
  <c r="P13" i="18" s="1"/>
  <c r="Q18" i="45" l="1"/>
  <c r="C18" i="45"/>
  <c r="B19" i="45"/>
  <c r="O18" i="45" a="1"/>
  <c r="O18" i="45" s="1"/>
  <c r="P18" i="45" s="1"/>
  <c r="Q17" i="45"/>
  <c r="S17" i="45" s="1"/>
  <c r="R17" i="45"/>
  <c r="R18" i="45" s="1"/>
  <c r="C19" i="44"/>
  <c r="O19" i="44" a="1"/>
  <c r="O19" i="44" s="1"/>
  <c r="P19" i="44" s="1"/>
  <c r="B20" i="44"/>
  <c r="Q18" i="44"/>
  <c r="S18" i="44" s="1"/>
  <c r="R18" i="44"/>
  <c r="R19" i="44" s="1"/>
  <c r="Q17" i="43"/>
  <c r="S17" i="43" s="1"/>
  <c r="C18" i="43"/>
  <c r="O18" i="43" a="1"/>
  <c r="O18" i="43" s="1"/>
  <c r="P18" i="43" s="1"/>
  <c r="B19" i="43"/>
  <c r="R17" i="43"/>
  <c r="R18" i="43" s="1"/>
  <c r="C18" i="42"/>
  <c r="B19" i="42"/>
  <c r="O18" i="42" a="1"/>
  <c r="O18" i="42" s="1"/>
  <c r="P18" i="42" s="1"/>
  <c r="Q17" i="42"/>
  <c r="S17" i="42" s="1"/>
  <c r="R17" i="42"/>
  <c r="R18" i="42" s="1"/>
  <c r="C19" i="41"/>
  <c r="O19" i="41" a="1"/>
  <c r="O19" i="41" s="1"/>
  <c r="P19" i="41" s="1"/>
  <c r="B20" i="41"/>
  <c r="Q18" i="41"/>
  <c r="S18" i="41" s="1"/>
  <c r="C18" i="40"/>
  <c r="B19" i="40"/>
  <c r="O18" i="40" a="1"/>
  <c r="O18" i="40" s="1"/>
  <c r="P18" i="40" s="1"/>
  <c r="Q17" i="40"/>
  <c r="S17" i="40" s="1"/>
  <c r="R13" i="18"/>
  <c r="Q13" i="18"/>
  <c r="S13" i="18" s="1"/>
  <c r="B18" i="18"/>
  <c r="C13" i="18"/>
  <c r="S18" i="45" l="1"/>
  <c r="C19" i="45"/>
  <c r="O19" i="45" a="1"/>
  <c r="O19" i="45" s="1"/>
  <c r="P19" i="45" s="1"/>
  <c r="B20" i="45"/>
  <c r="C20" i="44"/>
  <c r="O20" i="44" a="1"/>
  <c r="O20" i="44" s="1"/>
  <c r="P20" i="44" s="1"/>
  <c r="B21" i="44"/>
  <c r="Q19" i="44"/>
  <c r="S19" i="44" s="1"/>
  <c r="C19" i="43"/>
  <c r="O19" i="43" a="1"/>
  <c r="O19" i="43" s="1"/>
  <c r="P19" i="43" s="1"/>
  <c r="B20" i="43"/>
  <c r="Q18" i="43"/>
  <c r="S18" i="43" s="1"/>
  <c r="C19" i="42"/>
  <c r="B20" i="42"/>
  <c r="O19" i="42" a="1"/>
  <c r="O19" i="42" s="1"/>
  <c r="P19" i="42" s="1"/>
  <c r="Q18" i="42"/>
  <c r="S18" i="42" s="1"/>
  <c r="C20" i="41"/>
  <c r="O20" i="41" a="1"/>
  <c r="O20" i="41" s="1"/>
  <c r="P20" i="41" s="1"/>
  <c r="B21" i="41"/>
  <c r="Q19" i="41"/>
  <c r="S19" i="41" s="1"/>
  <c r="R19" i="41"/>
  <c r="R20" i="41" s="1"/>
  <c r="Q18" i="40"/>
  <c r="S18" i="40" s="1"/>
  <c r="C19" i="40"/>
  <c r="O19" i="40" a="1"/>
  <c r="O19" i="40" s="1"/>
  <c r="P19" i="40" s="1"/>
  <c r="B20" i="40"/>
  <c r="R18" i="40"/>
  <c r="R19" i="40" s="1"/>
  <c r="B19" i="18"/>
  <c r="O14" i="18" a="1"/>
  <c r="O14" i="18" s="1"/>
  <c r="P14" i="18" s="1"/>
  <c r="C20" i="45" l="1"/>
  <c r="B21" i="45"/>
  <c r="O20" i="45" a="1"/>
  <c r="O20" i="45" s="1"/>
  <c r="P20" i="45" s="1"/>
  <c r="Q19" i="45"/>
  <c r="Q20" i="45" s="1"/>
  <c r="R19" i="45"/>
  <c r="R20" i="45" s="1"/>
  <c r="S19" i="45"/>
  <c r="C21" i="44"/>
  <c r="B22" i="44"/>
  <c r="O21" i="44" a="1"/>
  <c r="O21" i="44" s="1"/>
  <c r="P21" i="44" s="1"/>
  <c r="R20" i="44"/>
  <c r="R21" i="44" s="1"/>
  <c r="Q20" i="44"/>
  <c r="S20" i="44" s="1"/>
  <c r="C20" i="43"/>
  <c r="B21" i="43"/>
  <c r="O20" i="43" a="1"/>
  <c r="O20" i="43" s="1"/>
  <c r="P20" i="43" s="1"/>
  <c r="Q19" i="43"/>
  <c r="S19" i="43" s="1"/>
  <c r="R19" i="43"/>
  <c r="R20" i="43" s="1"/>
  <c r="C20" i="42"/>
  <c r="B21" i="42"/>
  <c r="O20" i="42" a="1"/>
  <c r="O20" i="42" s="1"/>
  <c r="P20" i="42" s="1"/>
  <c r="Q19" i="42"/>
  <c r="S19" i="42" s="1"/>
  <c r="R19" i="42"/>
  <c r="R20" i="42" s="1"/>
  <c r="C21" i="41"/>
  <c r="B22" i="41"/>
  <c r="O21" i="41" a="1"/>
  <c r="O21" i="41" s="1"/>
  <c r="P21" i="41" s="1"/>
  <c r="Q20" i="41"/>
  <c r="S20" i="41" s="1"/>
  <c r="Q19" i="40"/>
  <c r="S19" i="40" s="1"/>
  <c r="C20" i="40"/>
  <c r="B21" i="40"/>
  <c r="O20" i="40" a="1"/>
  <c r="O20" i="40" s="1"/>
  <c r="P20" i="40" s="1"/>
  <c r="R14" i="18"/>
  <c r="Q14" i="18"/>
  <c r="B20" i="18"/>
  <c r="C14" i="18"/>
  <c r="S20" i="45" l="1"/>
  <c r="C21" i="45"/>
  <c r="B22" i="45"/>
  <c r="O21" i="45" a="1"/>
  <c r="O21" i="45" s="1"/>
  <c r="P21" i="45" s="1"/>
  <c r="C22" i="44"/>
  <c r="B23" i="44"/>
  <c r="O22" i="44" a="1"/>
  <c r="O22" i="44" s="1"/>
  <c r="P22" i="44" s="1"/>
  <c r="Q21" i="44"/>
  <c r="S21" i="44" s="1"/>
  <c r="C21" i="43"/>
  <c r="B22" i="43"/>
  <c r="O21" i="43" a="1"/>
  <c r="O21" i="43" s="1"/>
  <c r="P21" i="43" s="1"/>
  <c r="Q20" i="43"/>
  <c r="S20" i="43" s="1"/>
  <c r="C21" i="42"/>
  <c r="O21" i="42" a="1"/>
  <c r="O21" i="42" s="1"/>
  <c r="P21" i="42" s="1"/>
  <c r="B22" i="42"/>
  <c r="Q20" i="42"/>
  <c r="S20" i="42" s="1"/>
  <c r="C22" i="41"/>
  <c r="O22" i="41" a="1"/>
  <c r="O22" i="41" s="1"/>
  <c r="P22" i="41" s="1"/>
  <c r="B23" i="41"/>
  <c r="Q21" i="41"/>
  <c r="S21" i="41" s="1"/>
  <c r="R21" i="41"/>
  <c r="R22" i="41" s="1"/>
  <c r="C21" i="40"/>
  <c r="B22" i="40"/>
  <c r="O21" i="40" a="1"/>
  <c r="O21" i="40" s="1"/>
  <c r="P21" i="40" s="1"/>
  <c r="Q20" i="40"/>
  <c r="S20" i="40" s="1"/>
  <c r="R20" i="40"/>
  <c r="R21" i="40" s="1"/>
  <c r="S14" i="18"/>
  <c r="B21" i="18"/>
  <c r="N21" i="18" s="1" a="1"/>
  <c r="N21" i="18" s="1"/>
  <c r="O15" i="18" a="1"/>
  <c r="O15" i="18" s="1"/>
  <c r="P15" i="18" s="1"/>
  <c r="Q21" i="45" l="1"/>
  <c r="C22" i="45"/>
  <c r="O22" i="45" a="1"/>
  <c r="O22" i="45" s="1"/>
  <c r="P22" i="45" s="1"/>
  <c r="B23" i="45"/>
  <c r="R21" i="45"/>
  <c r="R22" i="45" s="1"/>
  <c r="S21" i="45"/>
  <c r="C23" i="44"/>
  <c r="O23" i="44" a="1"/>
  <c r="O23" i="44" s="1"/>
  <c r="P23" i="44" s="1"/>
  <c r="R22" i="44"/>
  <c r="R23" i="44" s="1"/>
  <c r="R25" i="44" s="1"/>
  <c r="R26" i="44" s="1"/>
  <c r="R27" i="44" s="1"/>
  <c r="R28" i="44" s="1"/>
  <c r="R29" i="44" s="1"/>
  <c r="Q22" i="44"/>
  <c r="S22" i="44" s="1"/>
  <c r="C22" i="43"/>
  <c r="O22" i="43" a="1"/>
  <c r="O22" i="43" s="1"/>
  <c r="P22" i="43" s="1"/>
  <c r="B23" i="43"/>
  <c r="Q21" i="43"/>
  <c r="S21" i="43" s="1"/>
  <c r="R21" i="43"/>
  <c r="R22" i="43" s="1"/>
  <c r="C22" i="42"/>
  <c r="O22" i="42" a="1"/>
  <c r="O22" i="42" s="1"/>
  <c r="P22" i="42" s="1"/>
  <c r="B23" i="42"/>
  <c r="Q21" i="42"/>
  <c r="S21" i="42" s="1"/>
  <c r="R21" i="42"/>
  <c r="R22" i="42" s="1"/>
  <c r="C23" i="41"/>
  <c r="O23" i="41" a="1"/>
  <c r="O23" i="41" s="1"/>
  <c r="P23" i="41" s="1"/>
  <c r="Q22" i="41"/>
  <c r="S22" i="41" s="1"/>
  <c r="C22" i="40"/>
  <c r="O22" i="40" a="1"/>
  <c r="O22" i="40" s="1"/>
  <c r="P22" i="40" s="1"/>
  <c r="B23" i="40"/>
  <c r="Q21" i="40"/>
  <c r="S21" i="40" s="1"/>
  <c r="R15" i="18"/>
  <c r="Q15" i="18"/>
  <c r="S15" i="18" s="1"/>
  <c r="B22" i="18"/>
  <c r="C15" i="18"/>
  <c r="C23" i="45" l="1"/>
  <c r="O23" i="45" a="1"/>
  <c r="O23" i="45" s="1"/>
  <c r="P23" i="45" s="1"/>
  <c r="Q22" i="45"/>
  <c r="S22" i="45" s="1"/>
  <c r="Q23" i="44"/>
  <c r="Q25" i="44" s="1"/>
  <c r="Q26" i="44" s="1"/>
  <c r="Q27" i="44" s="1"/>
  <c r="Q28" i="44" s="1"/>
  <c r="Q29" i="44" s="1"/>
  <c r="C23" i="43"/>
  <c r="O23" i="43" a="1"/>
  <c r="O23" i="43" s="1"/>
  <c r="P23" i="43" s="1"/>
  <c r="Q22" i="43"/>
  <c r="S22" i="43" s="1"/>
  <c r="Q22" i="42"/>
  <c r="S22" i="42" s="1"/>
  <c r="C23" i="42"/>
  <c r="O23" i="42" a="1"/>
  <c r="O23" i="42" s="1"/>
  <c r="P23" i="42" s="1"/>
  <c r="Q23" i="41"/>
  <c r="Q25" i="41" s="1"/>
  <c r="Q26" i="41" s="1"/>
  <c r="Q27" i="41" s="1"/>
  <c r="Q28" i="41" s="1"/>
  <c r="Q29" i="41" s="1"/>
  <c r="R23" i="41"/>
  <c r="R25" i="41" s="1"/>
  <c r="R26" i="41" s="1"/>
  <c r="R27" i="41" s="1"/>
  <c r="R28" i="41" s="1"/>
  <c r="R29" i="41" s="1"/>
  <c r="C23" i="40"/>
  <c r="O23" i="40" a="1"/>
  <c r="O23" i="40" s="1"/>
  <c r="P23" i="40" s="1"/>
  <c r="R22" i="40"/>
  <c r="R23" i="40" s="1"/>
  <c r="R25" i="40" s="1"/>
  <c r="R26" i="40" s="1"/>
  <c r="R27" i="40" s="1"/>
  <c r="R28" i="40" s="1"/>
  <c r="R29" i="40" s="1"/>
  <c r="Q22" i="40"/>
  <c r="S22" i="40" s="1"/>
  <c r="B23" i="18"/>
  <c r="O16" i="18" a="1"/>
  <c r="O16" i="18" s="1"/>
  <c r="P16" i="18" s="1"/>
  <c r="Q23" i="45" l="1"/>
  <c r="Q25" i="45" s="1"/>
  <c r="Q26" i="45" s="1"/>
  <c r="Q27" i="45" s="1"/>
  <c r="Q28" i="45" s="1"/>
  <c r="Q29" i="45" s="1"/>
  <c r="R23" i="45"/>
  <c r="R25" i="45" s="1"/>
  <c r="R26" i="45" s="1"/>
  <c r="R27" i="45" s="1"/>
  <c r="R28" i="45" s="1"/>
  <c r="R29" i="45" s="1"/>
  <c r="S23" i="44"/>
  <c r="S25" i="44" s="1"/>
  <c r="S26" i="44" s="1"/>
  <c r="S27" i="44" s="1"/>
  <c r="S28" i="44" s="1"/>
  <c r="S29" i="44" s="1"/>
  <c r="Q23" i="43"/>
  <c r="Q25" i="43" s="1"/>
  <c r="Q26" i="43" s="1"/>
  <c r="Q27" i="43" s="1"/>
  <c r="Q28" i="43" s="1"/>
  <c r="Q29" i="43" s="1"/>
  <c r="R23" i="43"/>
  <c r="R25" i="43" s="1"/>
  <c r="R26" i="43" s="1"/>
  <c r="R27" i="43" s="1"/>
  <c r="R28" i="43" s="1"/>
  <c r="R29" i="43" s="1"/>
  <c r="Q23" i="42"/>
  <c r="Q25" i="42" s="1"/>
  <c r="Q26" i="42" s="1"/>
  <c r="Q27" i="42" s="1"/>
  <c r="Q28" i="42" s="1"/>
  <c r="Q29" i="42" s="1"/>
  <c r="R23" i="42"/>
  <c r="R25" i="42" s="1"/>
  <c r="R26" i="42" s="1"/>
  <c r="R27" i="42" s="1"/>
  <c r="R28" i="42" s="1"/>
  <c r="R29" i="42" s="1"/>
  <c r="S23" i="41"/>
  <c r="S25" i="41" s="1"/>
  <c r="S26" i="41" s="1"/>
  <c r="S27" i="41" s="1"/>
  <c r="S28" i="41" s="1"/>
  <c r="S29" i="41" s="1"/>
  <c r="S23" i="40"/>
  <c r="S25" i="40" s="1"/>
  <c r="S26" i="40" s="1"/>
  <c r="S27" i="40" s="1"/>
  <c r="S28" i="40" s="1"/>
  <c r="S29" i="40" s="1"/>
  <c r="Q23" i="40"/>
  <c r="Q25" i="40" s="1"/>
  <c r="Q26" i="40" s="1"/>
  <c r="Q27" i="40" s="1"/>
  <c r="Q28" i="40" s="1"/>
  <c r="Q29" i="40" s="1"/>
  <c r="R16" i="18"/>
  <c r="Q16" i="18"/>
  <c r="C16" i="18"/>
  <c r="S23" i="45" l="1"/>
  <c r="S25" i="45" s="1"/>
  <c r="S26" i="45" s="1"/>
  <c r="S27" i="45" s="1"/>
  <c r="S28" i="45" s="1"/>
  <c r="S29" i="45" s="1"/>
  <c r="S23" i="43"/>
  <c r="S25" i="43" s="1"/>
  <c r="S26" i="43" s="1"/>
  <c r="S27" i="43" s="1"/>
  <c r="S28" i="43" s="1"/>
  <c r="S29" i="43" s="1"/>
  <c r="S23" i="42"/>
  <c r="S25" i="42" s="1"/>
  <c r="S26" i="42" s="1"/>
  <c r="S27" i="42" s="1"/>
  <c r="S28" i="42" s="1"/>
  <c r="S29" i="42" s="1"/>
  <c r="S16" i="18"/>
  <c r="O17" i="18" a="1"/>
  <c r="O17" i="18" s="1"/>
  <c r="P17" i="18" s="1"/>
  <c r="R17" i="18" l="1"/>
  <c r="Q17" i="18"/>
  <c r="S17" i="18" s="1"/>
  <c r="C17" i="18"/>
  <c r="O18" i="18" l="1" a="1"/>
  <c r="O18" i="18" s="1"/>
  <c r="P18" i="18" s="1"/>
  <c r="R18" i="18" l="1"/>
  <c r="Q18" i="18"/>
  <c r="C18" i="18"/>
  <c r="S18" i="18" l="1"/>
  <c r="O19" i="18" a="1"/>
  <c r="O19" i="18" s="1"/>
  <c r="P19" i="18" s="1"/>
  <c r="R19" i="18" l="1"/>
  <c r="Q19" i="18"/>
  <c r="S19" i="18" s="1"/>
  <c r="C19" i="18"/>
  <c r="O20" i="18" l="1" a="1"/>
  <c r="O20" i="18" s="1"/>
  <c r="P20" i="18" s="1"/>
  <c r="R20" i="18" l="1"/>
  <c r="Q20" i="18"/>
  <c r="C20" i="18"/>
  <c r="S20" i="18" l="1"/>
  <c r="O21" i="18" a="1"/>
  <c r="O21" i="18" s="1"/>
  <c r="P21" i="18" s="1"/>
  <c r="R21" i="18" l="1"/>
  <c r="Q21" i="18"/>
  <c r="S21" i="18" s="1"/>
  <c r="C21" i="18"/>
  <c r="O22" i="18" l="1" a="1"/>
  <c r="O22" i="18" s="1"/>
  <c r="P22" i="18" s="1"/>
  <c r="R22" i="18" l="1"/>
  <c r="Q22" i="18"/>
  <c r="C22" i="18"/>
  <c r="S22" i="18" l="1"/>
  <c r="O23" i="18" a="1"/>
  <c r="O23" i="18" s="1"/>
  <c r="P23" i="18" s="1"/>
  <c r="R23" i="18" l="1"/>
  <c r="R25" i="18" s="1"/>
  <c r="R26" i="18" s="1"/>
  <c r="R27" i="18" s="1"/>
  <c r="R28" i="18" s="1"/>
  <c r="R29" i="18" s="1"/>
  <c r="Q23" i="18"/>
  <c r="C23" i="18"/>
  <c r="Q25" i="18" l="1"/>
  <c r="Q26" i="18" s="1"/>
  <c r="Q27" i="18" s="1"/>
  <c r="Q28" i="18" s="1"/>
  <c r="Q29" i="18" s="1"/>
  <c r="S23" i="18"/>
  <c r="S27" i="18" s="1"/>
  <c r="S28" i="18" s="1"/>
  <c r="S2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<sst xmlns="http://schemas.openxmlformats.org/spreadsheetml/2006/main" count="281" uniqueCount="39">
  <si>
    <t>OP1</t>
  </si>
  <si>
    <t>OP2</t>
  </si>
  <si>
    <t>DP1</t>
  </si>
  <si>
    <t>DP2</t>
  </si>
  <si>
    <t>DIFF</t>
  </si>
  <si>
    <t>Result</t>
  </si>
  <si>
    <t>Score</t>
  </si>
  <si>
    <t>C</t>
  </si>
  <si>
    <t>Poss.</t>
  </si>
  <si>
    <t>Song</t>
  </si>
  <si>
    <t>Team</t>
  </si>
  <si>
    <t>Steelers</t>
  </si>
  <si>
    <t>Ravens</t>
  </si>
  <si>
    <t>Browns</t>
  </si>
  <si>
    <t>Bengals</t>
  </si>
  <si>
    <t>Packers</t>
  </si>
  <si>
    <t>Lions</t>
  </si>
  <si>
    <t>Vikings</t>
  </si>
  <si>
    <t>Bears</t>
  </si>
  <si>
    <t>Players</t>
  </si>
  <si>
    <t>Role</t>
  </si>
  <si>
    <t>Winner</t>
  </si>
  <si>
    <t>TDIFF</t>
  </si>
  <si>
    <t>Fill OP1, OP2, DP1, and DP2 for each team with player names</t>
  </si>
  <si>
    <t>If you get a Protection Error, you probably shouldn't touch that cell</t>
  </si>
  <si>
    <t>Overtime: 5 Random Songs. Onside/Safety/Pick ends it on Song 1, Sudden Death from Song 2</t>
  </si>
  <si>
    <t>You run out of songs, or</t>
  </si>
  <si>
    <t>Winner column on current Song row is not TBD</t>
  </si>
  <si>
    <t>Fill Captain (C) for each team with OP1, OP2, DP1, or DP2</t>
  </si>
  <si>
    <t>Continue playing until either happens:</t>
  </si>
  <si>
    <r>
      <t xml:space="preserve">If you must unprotect this sheet/workbook, the password is </t>
    </r>
    <r>
      <rPr>
        <b/>
        <sz val="10"/>
        <color rgb="FFCC0066"/>
        <rFont val="Arial"/>
        <family val="2"/>
      </rPr>
      <t>AMQ</t>
    </r>
  </si>
  <si>
    <r>
      <t xml:space="preserve">Change </t>
    </r>
    <r>
      <rPr>
        <b/>
        <sz val="10"/>
        <color theme="4"/>
        <rFont val="Arial"/>
        <family val="2"/>
      </rPr>
      <t>E1</t>
    </r>
    <r>
      <rPr>
        <sz val="10"/>
        <color theme="1"/>
        <rFont val="Arial"/>
        <family val="2"/>
      </rPr>
      <t xml:space="preserve"> and </t>
    </r>
    <r>
      <rPr>
        <b/>
        <sz val="10"/>
        <color theme="5" tint="-0.249977111117893"/>
        <rFont val="Arial"/>
        <family val="2"/>
      </rPr>
      <t>I1</t>
    </r>
    <r>
      <rPr>
        <sz val="10"/>
        <color theme="1"/>
        <rFont val="Arial"/>
        <family val="2"/>
      </rPr>
      <t xml:space="preserve"> to the right </t>
    </r>
    <r>
      <rPr>
        <b/>
        <sz val="10"/>
        <color theme="4"/>
        <rFont val="Arial"/>
        <family val="2"/>
      </rPr>
      <t>Away</t>
    </r>
    <r>
      <rPr>
        <sz val="10"/>
        <color theme="1"/>
        <rFont val="Arial"/>
        <family val="2"/>
      </rPr>
      <t xml:space="preserve"> and </t>
    </r>
    <r>
      <rPr>
        <b/>
        <sz val="10"/>
        <color theme="5" tint="-0.249977111117893"/>
        <rFont val="Arial"/>
        <family val="2"/>
      </rPr>
      <t>Home</t>
    </r>
    <r>
      <rPr>
        <sz val="10"/>
        <color theme="1"/>
        <rFont val="Arial"/>
        <family val="2"/>
      </rPr>
      <t xml:space="preserve"> teams</t>
    </r>
  </si>
  <si>
    <r>
      <t xml:space="preserve">Fill Column </t>
    </r>
    <r>
      <rPr>
        <b/>
        <sz val="10"/>
        <color theme="4"/>
        <rFont val="Arial"/>
        <family val="2"/>
      </rPr>
      <t>E</t>
    </r>
    <r>
      <rPr>
        <sz val="10"/>
        <color theme="1"/>
        <rFont val="Arial"/>
        <family val="2"/>
      </rPr>
      <t xml:space="preserve"> to </t>
    </r>
    <r>
      <rPr>
        <b/>
        <sz val="10"/>
        <color theme="5" tint="-0.249977111117893"/>
        <rFont val="Arial"/>
        <family val="2"/>
      </rPr>
      <t>L</t>
    </r>
    <r>
      <rPr>
        <sz val="10"/>
        <color theme="1"/>
        <rFont val="Arial"/>
        <family val="2"/>
      </rPr>
      <t xml:space="preserve"> with 1 for whoever gets each song right</t>
    </r>
  </si>
  <si>
    <t>Continue to the next Game scoresheet</t>
  </si>
  <si>
    <r>
      <t xml:space="preserve">Swap </t>
    </r>
    <r>
      <rPr>
        <b/>
        <sz val="10"/>
        <color theme="4"/>
        <rFont val="Arial"/>
        <family val="2"/>
      </rPr>
      <t>Away</t>
    </r>
    <r>
      <rPr>
        <sz val="10"/>
        <color theme="1"/>
        <rFont val="Arial"/>
        <family val="2"/>
      </rPr>
      <t xml:space="preserve"> and </t>
    </r>
    <r>
      <rPr>
        <b/>
        <sz val="10"/>
        <color theme="5" tint="-0.249977111117893"/>
        <rFont val="Arial"/>
        <family val="2"/>
      </rPr>
      <t>Home</t>
    </r>
    <r>
      <rPr>
        <sz val="10"/>
        <color theme="1"/>
        <rFont val="Arial"/>
        <family val="2"/>
      </rPr>
      <t xml:space="preserve"> if you play the same team again</t>
    </r>
  </si>
  <si>
    <t>Report the link to your copy after the last game</t>
  </si>
  <si>
    <t>Move to Game 1 sheet and start filling in results</t>
  </si>
  <si>
    <t>Make a copy of this Scoresheet and keep the link to that copy</t>
  </si>
  <si>
    <t>Regulation: 16 Watched Equal, 4 Random songs. Mercy Rule if Score Deficit &gt; Remaining Songs ×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</si>
</sst>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CC0066"/>
      <name val="Arial"/>
      <family val="2"/>
    </font>
    <font>
      <b/>
      <sz val="10"/>
      <color theme="4"/>
      <name val="Arial"/>
      <family val="2"/>
    </font>
    <font>
      <b/>
      <sz val="10"/>
      <color theme="5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</cellXfs>
  <cellStyles count="1">
    <cellStyle name="Normal" xfId="0" builtinId="0"/>
  </cellStyles>
  <dxfs count="35"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theme="4"/>
      </font>
    </dxf>
    <dxf>
      <font>
        <b/>
        <i val="0"/>
        <color theme="5" tint="-0.24994659260841701"/>
      </font>
    </dxf>
    <dxf>
      <font>
        <b/>
        <i val="0"/>
        <color theme="4"/>
      </font>
    </dxf>
  </dxfs>
  <tableStyles count="0" defaultTableStyle="TableStyleMedium2" defaultPivotStyle="PivotStyleLight16"/>
  <colors>
    <mruColors>
      <color rgb="FFCC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A3BB-8260-4B7B-ABAB-65C97B4A58E2}">
  <dimension ref="A1:AA41"/>
  <sheetViews>
    <sheetView tabSelected="1" workbookViewId="0"/>
  </sheetViews>
  <sheetFormatPr defaultColWidth="2.7109375" defaultRowHeight="12" customHeight="1" x14ac:dyDescent="0.25"/>
  <cols>
    <col min="1" max="1" width="8.7109375" style="2" customWidth="1"/>
    <col min="2" max="2" width="6.7109375" style="2" customWidth="1"/>
    <col min="3" max="3" width="16.7109375" style="2" customWidth="1"/>
    <col min="4" max="16384" width="2.7109375" style="2"/>
  </cols>
  <sheetData>
    <row r="1" spans="1:27" ht="12" customHeight="1" x14ac:dyDescent="0.25">
      <c r="A1" s="1" t="s">
        <v>10</v>
      </c>
      <c r="B1" s="1" t="s">
        <v>20</v>
      </c>
      <c r="C1" s="1" t="s">
        <v>19</v>
      </c>
    </row>
    <row r="2" spans="1:27" ht="12" customHeight="1" x14ac:dyDescent="0.25">
      <c r="A2" s="14" t="s">
        <v>11</v>
      </c>
      <c r="B2" s="1" t="s">
        <v>7</v>
      </c>
      <c r="C2" s="3"/>
      <c r="E2" s="6">
        <v>1</v>
      </c>
      <c r="F2" s="17" t="s">
        <v>37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7"/>
      <c r="AA2" s="7"/>
    </row>
    <row r="3" spans="1:27" ht="12" customHeight="1" x14ac:dyDescent="0.25">
      <c r="A3" s="15"/>
      <c r="B3" s="4" t="s">
        <v>0</v>
      </c>
      <c r="C3" s="5"/>
      <c r="E3" s="6">
        <v>2</v>
      </c>
      <c r="F3" s="17" t="s">
        <v>23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7"/>
      <c r="AA3" s="7"/>
    </row>
    <row r="4" spans="1:27" ht="12" customHeight="1" x14ac:dyDescent="0.25">
      <c r="A4" s="15"/>
      <c r="B4" s="4" t="s">
        <v>1</v>
      </c>
      <c r="C4" s="5"/>
      <c r="E4" s="6">
        <v>3</v>
      </c>
      <c r="F4" s="17" t="s">
        <v>28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7" ht="12" customHeight="1" x14ac:dyDescent="0.25">
      <c r="A5" s="15"/>
      <c r="B5" s="4" t="s">
        <v>2</v>
      </c>
      <c r="C5" s="5"/>
      <c r="E5" s="6">
        <v>4</v>
      </c>
      <c r="F5" s="18" t="s">
        <v>36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/>
    </row>
    <row r="6" spans="1:27" ht="12" customHeight="1" x14ac:dyDescent="0.25">
      <c r="A6" s="16"/>
      <c r="B6" s="4" t="s">
        <v>3</v>
      </c>
      <c r="C6" s="5"/>
      <c r="E6" s="17" t="s">
        <v>24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7" ht="12" customHeight="1" x14ac:dyDescent="0.25">
      <c r="A7" s="14" t="s">
        <v>12</v>
      </c>
      <c r="B7" s="1" t="s">
        <v>7</v>
      </c>
      <c r="C7" s="3"/>
      <c r="E7" s="17" t="s">
        <v>30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7" ht="12" customHeight="1" x14ac:dyDescent="0.25">
      <c r="A8" s="15"/>
      <c r="B8" s="4" t="s">
        <v>0</v>
      </c>
      <c r="C8" s="5"/>
    </row>
    <row r="9" spans="1:27" ht="12" customHeight="1" x14ac:dyDescent="0.25">
      <c r="A9" s="15"/>
      <c r="B9" s="4" t="s">
        <v>1</v>
      </c>
      <c r="C9" s="5"/>
    </row>
    <row r="10" spans="1:27" ht="12" customHeight="1" x14ac:dyDescent="0.25">
      <c r="A10" s="15"/>
      <c r="B10" s="4" t="s">
        <v>2</v>
      </c>
      <c r="C10" s="5"/>
    </row>
    <row r="11" spans="1:27" ht="12" customHeight="1" x14ac:dyDescent="0.25">
      <c r="A11" s="16"/>
      <c r="B11" s="4" t="s">
        <v>3</v>
      </c>
      <c r="C11" s="5"/>
    </row>
    <row r="12" spans="1:27" ht="12" customHeight="1" x14ac:dyDescent="0.25">
      <c r="A12" s="14" t="s">
        <v>13</v>
      </c>
      <c r="B12" s="1" t="s">
        <v>7</v>
      </c>
      <c r="C12" s="3"/>
    </row>
    <row r="13" spans="1:27" ht="12" customHeight="1" x14ac:dyDescent="0.25">
      <c r="A13" s="15"/>
      <c r="B13" s="4" t="s">
        <v>0</v>
      </c>
      <c r="C13" s="5"/>
    </row>
    <row r="14" spans="1:27" ht="12" customHeight="1" x14ac:dyDescent="0.25">
      <c r="A14" s="15"/>
      <c r="B14" s="4" t="s">
        <v>1</v>
      </c>
      <c r="C14" s="5"/>
    </row>
    <row r="15" spans="1:27" ht="12" customHeight="1" x14ac:dyDescent="0.25">
      <c r="A15" s="15"/>
      <c r="B15" s="4" t="s">
        <v>2</v>
      </c>
      <c r="C15" s="5"/>
    </row>
    <row r="16" spans="1:27" ht="12" customHeight="1" x14ac:dyDescent="0.25">
      <c r="A16" s="16"/>
      <c r="B16" s="4" t="s">
        <v>3</v>
      </c>
      <c r="C16" s="5"/>
    </row>
    <row r="17" spans="1:3" ht="12" customHeight="1" x14ac:dyDescent="0.25">
      <c r="A17" s="14" t="s">
        <v>14</v>
      </c>
      <c r="B17" s="1" t="s">
        <v>7</v>
      </c>
      <c r="C17" s="3"/>
    </row>
    <row r="18" spans="1:3" ht="12" customHeight="1" x14ac:dyDescent="0.25">
      <c r="A18" s="15"/>
      <c r="B18" s="4" t="s">
        <v>0</v>
      </c>
      <c r="C18" s="5"/>
    </row>
    <row r="19" spans="1:3" ht="12" customHeight="1" x14ac:dyDescent="0.25">
      <c r="A19" s="15"/>
      <c r="B19" s="4" t="s">
        <v>1</v>
      </c>
      <c r="C19" s="5"/>
    </row>
    <row r="20" spans="1:3" ht="12" customHeight="1" x14ac:dyDescent="0.25">
      <c r="A20" s="15"/>
      <c r="B20" s="4" t="s">
        <v>2</v>
      </c>
      <c r="C20" s="5"/>
    </row>
    <row r="21" spans="1:3" ht="12" customHeight="1" x14ac:dyDescent="0.25">
      <c r="A21" s="16"/>
      <c r="B21" s="4" t="s">
        <v>3</v>
      </c>
      <c r="C21" s="5"/>
    </row>
    <row r="22" spans="1:3" ht="12" customHeight="1" x14ac:dyDescent="0.25">
      <c r="A22" s="14" t="s">
        <v>15</v>
      </c>
      <c r="B22" s="1" t="s">
        <v>7</v>
      </c>
      <c r="C22" s="3"/>
    </row>
    <row r="23" spans="1:3" ht="12" customHeight="1" x14ac:dyDescent="0.25">
      <c r="A23" s="15"/>
      <c r="B23" s="4" t="s">
        <v>0</v>
      </c>
      <c r="C23" s="5"/>
    </row>
    <row r="24" spans="1:3" ht="12" customHeight="1" x14ac:dyDescent="0.25">
      <c r="A24" s="15"/>
      <c r="B24" s="4" t="s">
        <v>1</v>
      </c>
      <c r="C24" s="5"/>
    </row>
    <row r="25" spans="1:3" ht="12" customHeight="1" x14ac:dyDescent="0.25">
      <c r="A25" s="15"/>
      <c r="B25" s="4" t="s">
        <v>2</v>
      </c>
      <c r="C25" s="5"/>
    </row>
    <row r="26" spans="1:3" ht="12" customHeight="1" x14ac:dyDescent="0.25">
      <c r="A26" s="16"/>
      <c r="B26" s="4" t="s">
        <v>3</v>
      </c>
      <c r="C26" s="5"/>
    </row>
    <row r="27" spans="1:3" ht="12" customHeight="1" x14ac:dyDescent="0.25">
      <c r="A27" s="14" t="s">
        <v>17</v>
      </c>
      <c r="B27" s="1" t="s">
        <v>7</v>
      </c>
      <c r="C27" s="3"/>
    </row>
    <row r="28" spans="1:3" ht="12" customHeight="1" x14ac:dyDescent="0.25">
      <c r="A28" s="15"/>
      <c r="B28" s="4" t="s">
        <v>0</v>
      </c>
      <c r="C28" s="5"/>
    </row>
    <row r="29" spans="1:3" ht="12" customHeight="1" x14ac:dyDescent="0.25">
      <c r="A29" s="15"/>
      <c r="B29" s="4" t="s">
        <v>1</v>
      </c>
      <c r="C29" s="5"/>
    </row>
    <row r="30" spans="1:3" ht="12" customHeight="1" x14ac:dyDescent="0.25">
      <c r="A30" s="15"/>
      <c r="B30" s="4" t="s">
        <v>2</v>
      </c>
      <c r="C30" s="5"/>
    </row>
    <row r="31" spans="1:3" ht="12" customHeight="1" x14ac:dyDescent="0.25">
      <c r="A31" s="16"/>
      <c r="B31" s="4" t="s">
        <v>3</v>
      </c>
      <c r="C31" s="5"/>
    </row>
    <row r="32" spans="1:3" ht="12" customHeight="1" x14ac:dyDescent="0.25">
      <c r="A32" s="14" t="s">
        <v>16</v>
      </c>
      <c r="B32" s="1" t="s">
        <v>7</v>
      </c>
      <c r="C32" s="3"/>
    </row>
    <row r="33" spans="1:3" ht="12" customHeight="1" x14ac:dyDescent="0.25">
      <c r="A33" s="15"/>
      <c r="B33" s="4" t="s">
        <v>0</v>
      </c>
      <c r="C33" s="5"/>
    </row>
    <row r="34" spans="1:3" ht="12" customHeight="1" x14ac:dyDescent="0.25">
      <c r="A34" s="15"/>
      <c r="B34" s="4" t="s">
        <v>1</v>
      </c>
      <c r="C34" s="5"/>
    </row>
    <row r="35" spans="1:3" ht="12" customHeight="1" x14ac:dyDescent="0.25">
      <c r="A35" s="15"/>
      <c r="B35" s="4" t="s">
        <v>2</v>
      </c>
      <c r="C35" s="5"/>
    </row>
    <row r="36" spans="1:3" ht="12" customHeight="1" x14ac:dyDescent="0.25">
      <c r="A36" s="16"/>
      <c r="B36" s="4" t="s">
        <v>3</v>
      </c>
      <c r="C36" s="5"/>
    </row>
    <row r="37" spans="1:3" ht="12" customHeight="1" x14ac:dyDescent="0.25">
      <c r="A37" s="14" t="s">
        <v>18</v>
      </c>
      <c r="B37" s="1" t="s">
        <v>7</v>
      </c>
      <c r="C37" s="3"/>
    </row>
    <row r="38" spans="1:3" ht="12" customHeight="1" x14ac:dyDescent="0.25">
      <c r="A38" s="15"/>
      <c r="B38" s="4" t="s">
        <v>0</v>
      </c>
      <c r="C38" s="5"/>
    </row>
    <row r="39" spans="1:3" ht="12" customHeight="1" x14ac:dyDescent="0.25">
      <c r="A39" s="15"/>
      <c r="B39" s="4" t="s">
        <v>1</v>
      </c>
      <c r="C39" s="5"/>
    </row>
    <row r="40" spans="1:3" ht="12" customHeight="1" x14ac:dyDescent="0.25">
      <c r="A40" s="15"/>
      <c r="B40" s="4" t="s">
        <v>2</v>
      </c>
      <c r="C40" s="5"/>
    </row>
    <row r="41" spans="1:3" ht="12" customHeight="1" x14ac:dyDescent="0.25">
      <c r="A41" s="16"/>
      <c r="B41" s="4" t="s">
        <v>3</v>
      </c>
      <c r="C41" s="5"/>
    </row>
  </sheetData>
  <sheetProtection algorithmName="SHA-512" hashValue="U/mzXEvO/njMUGLG/MoB/nALmiL1r+IF44E4t8EuB0OTxJTfS9SN/MmwjA1uOUR8fZ+ILM5ya33TK+bJVosNdg==" saltValue="Zq2tosjQuqbN6kbUav1DJQ==" spinCount="100000" sheet="1" objects="1" scenarios="1"/>
  <mergeCells count="14">
    <mergeCell ref="F5:Y5"/>
    <mergeCell ref="A7:A11"/>
    <mergeCell ref="A12:A16"/>
    <mergeCell ref="A32:A36"/>
    <mergeCell ref="A2:A6"/>
    <mergeCell ref="F3:Y3"/>
    <mergeCell ref="F2:Y2"/>
    <mergeCell ref="F4:Y4"/>
    <mergeCell ref="E6:Y6"/>
    <mergeCell ref="A37:A41"/>
    <mergeCell ref="A17:A21"/>
    <mergeCell ref="A22:A26"/>
    <mergeCell ref="A27:A31"/>
    <mergeCell ref="E7:Y7"/>
  </mergeCells>
  <dataValidations count="1">
    <dataValidation type="list" allowBlank="1" showInputMessage="1" showErrorMessage="1" errorTitle="Invalid captain input" error="Please input OP1, OP2, DP1, or DP2" sqref="C2 C37 C32 C27 C22 C17 C12 C7" xr:uid="{AB081F11-7A74-489E-A8F4-713E24532435}">
      <formula1>$B$3:$B$6</formula1>
    </dataValidation>
  </dataValidations>
  <printOptions horizontalCentered="1" verticalCentere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3B23-2E6F-461C-87C9-6107E2E20FBF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9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9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si="1"/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si="2"/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1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2"/>
        <v>Punt</v>
      </c>
      <c r="Q26" s="10">
        <f>IF(B26=0,Q25+IF(O26&gt;1,IF(O26=3,8,7),IF(O26=1,3,0)),Q25+IF(O26&gt;-2,0,IF(O26=-2,2,IF(O26=-3,6,7))))</f>
        <v>0</v>
      </c>
      <c r="R26" s="11">
        <f t="shared" ref="R26" si="6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1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2"/>
        <v>Punt</v>
      </c>
      <c r="Q27" s="10">
        <f>IF(B27=0,Q26+IF(O27&gt;1,IF(O27=3,8,7),IF(O27=1,3,0)),Q26+IF(O27&gt;-2,0,IF(O27=-2,2,IF(O27=-3,6,7))))</f>
        <v>0</v>
      </c>
      <c r="R27" s="11">
        <f t="shared" ref="R27:R29" si="7">IF(B27=0,R26+IF(O27&gt;-2,0,IF(O27=-2,2,IF(O27=-3,6,7))),R26+IF(O27&gt;1,IF(O27=3,8,7),IF(O27=1,3,0)))</f>
        <v>0</v>
      </c>
      <c r="S27" s="4" t="str">
        <f t="shared" ref="S27:S29" si="8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1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2"/>
        <v>Punt</v>
      </c>
      <c r="Q28" s="10">
        <f t="shared" ref="Q28:Q29" si="9">IF(B28=0,Q27+IF(O28&gt;1,IF(O28=3,8,7),IF(O28=1,3,0)),Q27+IF(O28&gt;-2,0,IF(O28=-2,2,IF(O28=-3,6,7))))</f>
        <v>0</v>
      </c>
      <c r="R28" s="11">
        <f t="shared" si="7"/>
        <v>0</v>
      </c>
      <c r="S28" s="4" t="str">
        <f t="shared" si="8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1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2"/>
        <v>Punt</v>
      </c>
      <c r="Q29" s="10">
        <f t="shared" si="9"/>
        <v>0</v>
      </c>
      <c r="R29" s="11">
        <f t="shared" si="7"/>
        <v>0</v>
      </c>
      <c r="S29" s="4" t="str">
        <f t="shared" si="8"/>
        <v>Tie</v>
      </c>
    </row>
  </sheetData>
  <sheetProtection algorithmName="SHA-512" hashValue="gdRlPn0vnXauH6ftgfOsxXRueHhFiB6ETfeG5vvBUIF/rA3W6k5J8lluumB6F48w+bgC8IH+Nup5fSJMNComEQ==" saltValue="OmzRaVVlu/TmMNl05jMEFg==" spinCount="100000" sheet="1" objects="1" scenarios="1"/>
  <mergeCells count="28">
    <mergeCell ref="V2:AO2"/>
    <mergeCell ref="V3:AO3"/>
    <mergeCell ref="V4:AO4"/>
    <mergeCell ref="V7:AO7"/>
    <mergeCell ref="U7:U8"/>
    <mergeCell ref="V8:AO8"/>
    <mergeCell ref="U10:AO10"/>
    <mergeCell ref="U11:AO11"/>
    <mergeCell ref="W5:AO5"/>
    <mergeCell ref="W6:AO6"/>
    <mergeCell ref="V9:AO9"/>
    <mergeCell ref="U4:U6"/>
    <mergeCell ref="D25:D29"/>
    <mergeCell ref="M25:M29"/>
    <mergeCell ref="D4:D23"/>
    <mergeCell ref="M4:M23"/>
    <mergeCell ref="N1:N2"/>
    <mergeCell ref="D1:H1"/>
    <mergeCell ref="I1:M1"/>
    <mergeCell ref="A3:S3"/>
    <mergeCell ref="A24:S24"/>
    <mergeCell ref="S1:S2"/>
    <mergeCell ref="O1:O2"/>
    <mergeCell ref="P1:P2"/>
    <mergeCell ref="Q1:R1"/>
    <mergeCell ref="A1:A2"/>
    <mergeCell ref="C1:C2"/>
    <mergeCell ref="B1:B2"/>
  </mergeCells>
  <phoneticPr fontId="1" type="noConversion"/>
  <conditionalFormatting sqref="C4:C23 C25:C29">
    <cfRule type="expression" dxfId="34" priority="1">
      <formula>C4=$D$1</formula>
    </cfRule>
    <cfRule type="expression" dxfId="33" priority="2">
      <formula>C4=$I$1</formula>
    </cfRule>
  </conditionalFormatting>
  <conditionalFormatting sqref="S4:S23 S25:S29">
    <cfRule type="expression" dxfId="32" priority="3">
      <formula>S4=$D$1</formula>
    </cfRule>
    <cfRule type="expression" dxfId="31" priority="6">
      <formula>S4=$I$1</formula>
    </cfRule>
  </conditionalFormatting>
  <conditionalFormatting sqref="S29">
    <cfRule type="expression" dxfId="30" priority="7">
      <formula>$S$29="Tie"</formula>
    </cfRule>
  </conditionalFormatting>
  <dataValidations count="2">
    <dataValidation showInputMessage="1" errorTitle="Invalid Captain input" error="Please input from 1 to 4" sqref="D4:D23 M4:M23" xr:uid="{CA32248E-2268-4738-8204-E175E18C29FB}"/>
    <dataValidation type="whole" allowBlank="1" showInputMessage="1" showErrorMessage="1" errorTitle="Invalid guess input" error="Please input 0 or 1" sqref="E4:L23 E25:L29" xr:uid="{053BAC21-35A7-42C6-9EB0-377C2684FB31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3E32FECA-93E2-4021-8BCC-945EE2234F55}">
          <x14:formula1>
            <xm:f>Setup!$A$2:$A$41</xm:f>
          </x14:formula1>
          <xm:sqref>D1:M1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049A-1379-4D43-AD4C-30CA7ABEEB98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29" priority="1">
      <formula>C4=$D$1</formula>
    </cfRule>
    <cfRule type="expression" dxfId="28" priority="2">
      <formula>C4=$I$1</formula>
    </cfRule>
  </conditionalFormatting>
  <conditionalFormatting sqref="S4:S23 S25:S29">
    <cfRule type="expression" dxfId="27" priority="3">
      <formula>S4=$D$1</formula>
    </cfRule>
    <cfRule type="expression" dxfId="26" priority="4">
      <formula>S4=$I$1</formula>
    </cfRule>
  </conditionalFormatting>
  <conditionalFormatting sqref="S29">
    <cfRule type="expression" dxfId="25" priority="5">
      <formula>$S$29="Tie"</formula>
    </cfRule>
  </conditionalFormatting>
  <dataValidations count="2">
    <dataValidation showInputMessage="1" errorTitle="Invalid Captain input" error="Please input from 1 to 4" sqref="D4:D23 M4:M23" xr:uid="{63C558CD-8E01-4D27-BFE6-8C491DA4AC32}"/>
    <dataValidation type="whole" allowBlank="1" showInputMessage="1" showErrorMessage="1" errorTitle="Invalid guess input" error="Please input 0 or 1" sqref="E4:L23 E25:L29" xr:uid="{BE7C0A13-A824-42E2-B16E-8AD37C87470D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94689CD1-010E-4B84-A2A1-0B1F1AD48DCB}">
          <x14:formula1>
            <xm:f>Setup!$A$2:$A$41</xm:f>
          </x14:formula1>
          <xm:sqref>D1:M1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E4A3-0C92-42E7-990B-EE41503E1B27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24" priority="1">
      <formula>C4=$D$1</formula>
    </cfRule>
    <cfRule type="expression" dxfId="23" priority="2">
      <formula>C4=$I$1</formula>
    </cfRule>
  </conditionalFormatting>
  <conditionalFormatting sqref="S4:S23 S25:S29">
    <cfRule type="expression" dxfId="22" priority="3">
      <formula>S4=$D$1</formula>
    </cfRule>
    <cfRule type="expression" dxfId="21" priority="4">
      <formula>S4=$I$1</formula>
    </cfRule>
  </conditionalFormatting>
  <conditionalFormatting sqref="S29">
    <cfRule type="expression" dxfId="20" priority="5">
      <formula>$S$29="Tie"</formula>
    </cfRule>
  </conditionalFormatting>
  <dataValidations count="2">
    <dataValidation showInputMessage="1" errorTitle="Invalid Captain input" error="Please input from 1 to 4" sqref="D4:D23 M4:M23" xr:uid="{CDBAE6D1-950F-49DB-B5A2-726D939521B8}"/>
    <dataValidation type="whole" allowBlank="1" showInputMessage="1" showErrorMessage="1" errorTitle="Invalid guess input" error="Please input 0 or 1" sqref="E4:L23 E25:L29" xr:uid="{02BB3C0E-6A52-45E0-BC09-F437A7821792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44774121-C989-4A10-B07F-99B30F6964F6}">
          <x14:formula1>
            <xm:f>Setup!$A$2:$A$41</xm:f>
          </x14:formula1>
          <xm:sqref>D1:M1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F953-E062-4DFD-8B64-CC99DADA2499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19" priority="1">
      <formula>C4=$D$1</formula>
    </cfRule>
    <cfRule type="expression" dxfId="18" priority="2">
      <formula>C4=$I$1</formula>
    </cfRule>
  </conditionalFormatting>
  <conditionalFormatting sqref="S4:S23 S25:S29">
    <cfRule type="expression" dxfId="17" priority="3">
      <formula>S4=$D$1</formula>
    </cfRule>
    <cfRule type="expression" dxfId="16" priority="4">
      <formula>S4=$I$1</formula>
    </cfRule>
  </conditionalFormatting>
  <conditionalFormatting sqref="S29">
    <cfRule type="expression" dxfId="15" priority="5">
      <formula>$S$29="Tie"</formula>
    </cfRule>
  </conditionalFormatting>
  <dataValidations count="2">
    <dataValidation showInputMessage="1" errorTitle="Invalid Captain input" error="Please input from 1 to 4" sqref="D4:D23 M4:M23" xr:uid="{5355C8A7-8175-49F0-9B0E-BD53D5EE704C}"/>
    <dataValidation type="whole" allowBlank="1" showInputMessage="1" showErrorMessage="1" errorTitle="Invalid guess input" error="Please input 0 or 1" sqref="E4:L23 E25:L29" xr:uid="{C80F446A-AA4A-45A5-AB0D-2C8F262F4F74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4C912CF1-DA81-4DAB-8B9D-A443240A2CE9}">
          <x14:formula1>
            <xm:f>Setup!$A$2:$A$41</xm:f>
          </x14:formula1>
          <xm:sqref>D1:M1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CFBE-8C2C-4279-B900-E9DFE7213F73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14" priority="1">
      <formula>C4=$D$1</formula>
    </cfRule>
    <cfRule type="expression" dxfId="13" priority="2">
      <formula>C4=$I$1</formula>
    </cfRule>
  </conditionalFormatting>
  <conditionalFormatting sqref="S4:S23 S25:S29">
    <cfRule type="expression" dxfId="12" priority="3">
      <formula>S4=$D$1</formula>
    </cfRule>
    <cfRule type="expression" dxfId="11" priority="4">
      <formula>S4=$I$1</formula>
    </cfRule>
  </conditionalFormatting>
  <conditionalFormatting sqref="S29">
    <cfRule type="expression" dxfId="10" priority="5">
      <formula>$S$29="Tie"</formula>
    </cfRule>
  </conditionalFormatting>
  <dataValidations count="2">
    <dataValidation showInputMessage="1" errorTitle="Invalid Captain input" error="Please input from 1 to 4" sqref="D4:D23 M4:M23" xr:uid="{0C0AA975-55DF-422C-9DC7-873EAC760215}"/>
    <dataValidation type="whole" allowBlank="1" showInputMessage="1" showErrorMessage="1" errorTitle="Invalid guess input" error="Please input 0 or 1" sqref="E4:L23 E25:L29" xr:uid="{A70F1683-980B-4B75-89BD-74B64C51E7C2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206B61A7-562A-4E57-BFE2-EA6C0E10FFB5}">
          <x14:formula1>
            <xm:f>Setup!$A$2:$A$41</xm:f>
          </x14:formula1>
          <xm:sqref>D1:M1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C0DF-9478-4576-B8FC-0B309541F3E0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9" priority="1">
      <formula>C4=$D$1</formula>
    </cfRule>
    <cfRule type="expression" dxfId="8" priority="2">
      <formula>C4=$I$1</formula>
    </cfRule>
  </conditionalFormatting>
  <conditionalFormatting sqref="S4:S23 S25:S29">
    <cfRule type="expression" dxfId="7" priority="3">
      <formula>S4=$D$1</formula>
    </cfRule>
    <cfRule type="expression" dxfId="6" priority="4">
      <formula>S4=$I$1</formula>
    </cfRule>
  </conditionalFormatting>
  <conditionalFormatting sqref="S29">
    <cfRule type="expression" dxfId="5" priority="5">
      <formula>$S$29="Tie"</formula>
    </cfRule>
  </conditionalFormatting>
  <dataValidations count="2">
    <dataValidation showInputMessage="1" errorTitle="Invalid Captain input" error="Please input from 1 to 4" sqref="D4:D23 M4:M23" xr:uid="{3029F17D-7DC0-477A-9AE7-F3B793AECB33}"/>
    <dataValidation type="whole" allowBlank="1" showInputMessage="1" showErrorMessage="1" errorTitle="Invalid guess input" error="Please input 0 or 1" sqref="E4:L23 E25:L29" xr:uid="{27EC8F85-E4E9-4359-8232-C911945531F9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3009DA15-A70D-4D54-B989-487B73B63E60}">
          <x14:formula1>
            <xm:f>Setup!$A$2:$A$41</xm:f>
          </x14:formula1>
          <xm:sqref>D1:M1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274A-ACE0-41FF-BDCE-E61F89720B97}">
  <sheetPr>
    <pageSetUpPr autoPageBreaks="0"/>
  </sheetPr>
  <dimension ref="A1:AO29"/>
  <sheetViews>
    <sheetView zoomScaleNormal="100" workbookViewId="0">
      <selection sqref="A1:A2"/>
    </sheetView>
  </sheetViews>
  <sheetFormatPr defaultColWidth="2.7109375" defaultRowHeight="12" customHeight="1" x14ac:dyDescent="0.25"/>
  <cols>
    <col min="1" max="1" width="6.7109375" style="2" customWidth="1"/>
    <col min="2" max="2" width="6.7109375" style="2" hidden="1" customWidth="1"/>
    <col min="3" max="3" width="8.7109375" style="2" customWidth="1"/>
    <col min="4" max="4" width="4.7109375" style="2" hidden="1" customWidth="1"/>
    <col min="5" max="12" width="4.7109375" style="2" customWidth="1"/>
    <col min="13" max="13" width="4.7109375" style="2" hidden="1" customWidth="1"/>
    <col min="14" max="15" width="6.7109375" style="2" hidden="1" customWidth="1"/>
    <col min="16" max="16" width="12.7109375" style="2" customWidth="1"/>
    <col min="17" max="19" width="8.7109375" style="2" customWidth="1"/>
    <col min="20" max="20" width="2.7109375" style="2" customWidth="1"/>
    <col min="21" max="16384" width="2.7109375" style="2"/>
  </cols>
  <sheetData>
    <row r="1" spans="1:41" ht="12" customHeight="1" x14ac:dyDescent="0.25">
      <c r="A1" s="23" t="s">
        <v>9</v>
      </c>
      <c r="B1" s="23" t="s">
        <v>8</v>
      </c>
      <c r="C1" s="23" t="s">
        <v>8</v>
      </c>
      <c r="D1" s="24" t="s">
        <v>12</v>
      </c>
      <c r="E1" s="24"/>
      <c r="F1" s="24"/>
      <c r="G1" s="24"/>
      <c r="H1" s="24"/>
      <c r="I1" s="25" t="s">
        <v>11</v>
      </c>
      <c r="J1" s="25"/>
      <c r="K1" s="25"/>
      <c r="L1" s="25"/>
      <c r="M1" s="25"/>
      <c r="N1" s="23" t="s">
        <v>22</v>
      </c>
      <c r="O1" s="23" t="s">
        <v>4</v>
      </c>
      <c r="P1" s="23" t="s">
        <v>5</v>
      </c>
      <c r="Q1" s="23" t="s">
        <v>6</v>
      </c>
      <c r="R1" s="23"/>
      <c r="S1" s="23" t="s">
        <v>21</v>
      </c>
    </row>
    <row r="2" spans="1:41" ht="12" customHeight="1" x14ac:dyDescent="0.25">
      <c r="A2" s="23"/>
      <c r="B2" s="23"/>
      <c r="C2" s="23"/>
      <c r="D2" s="10" t="s">
        <v>7</v>
      </c>
      <c r="E2" s="10" t="s">
        <v>0</v>
      </c>
      <c r="F2" s="10" t="s">
        <v>1</v>
      </c>
      <c r="G2" s="10" t="s">
        <v>2</v>
      </c>
      <c r="H2" s="10" t="s">
        <v>3</v>
      </c>
      <c r="I2" s="11" t="s">
        <v>0</v>
      </c>
      <c r="J2" s="11" t="s">
        <v>1</v>
      </c>
      <c r="K2" s="11" t="s">
        <v>2</v>
      </c>
      <c r="L2" s="11" t="s">
        <v>3</v>
      </c>
      <c r="M2" s="11" t="s">
        <v>7</v>
      </c>
      <c r="N2" s="23"/>
      <c r="O2" s="23"/>
      <c r="P2" s="23"/>
      <c r="Q2" s="10" t="str">
        <f>D1</f>
        <v>Ravens</v>
      </c>
      <c r="R2" s="11" t="str">
        <f>I1</f>
        <v>Steelers</v>
      </c>
      <c r="S2" s="23"/>
      <c r="U2" s="6">
        <v>1</v>
      </c>
      <c r="V2" s="26" t="s">
        <v>31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ht="12" customHeight="1" x14ac:dyDescent="0.2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U3" s="6">
        <v>2</v>
      </c>
      <c r="V3" s="26" t="s">
        <v>32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ht="12" customHeight="1" x14ac:dyDescent="0.25">
      <c r="A4" s="4">
        <v>1</v>
      </c>
      <c r="B4" s="4">
        <v>0</v>
      </c>
      <c r="C4" s="4" t="str">
        <f>IF(B4=0,D$1,I$1)</f>
        <v>Ravens</v>
      </c>
      <c r="D4" s="21" cm="1">
        <f t="array" ref="D4">_xlfn.SWITCH(VLOOKUP(D1,Setup!A:C,3,FALSE),"OP1",1,"OP2",2,"DP1",3,"DP2",4,1)</f>
        <v>1</v>
      </c>
      <c r="E4" s="8"/>
      <c r="F4" s="8"/>
      <c r="G4" s="8"/>
      <c r="H4" s="8"/>
      <c r="I4" s="9"/>
      <c r="J4" s="9"/>
      <c r="K4" s="9"/>
      <c r="L4" s="9"/>
      <c r="M4" s="22" cm="1">
        <f t="array" ref="M4">_xlfn.SWITCH(VLOOKUP(I1,Setup!A:C,3,FALSE),"OP1",1,"OP2",2,"DP1",3,"DP2",4,1)</f>
        <v>1</v>
      </c>
      <c r="N4" s="4" t="str" cm="1">
        <f t="array" ref="N4">IF(ABS((SUM(E4:H4)+INDEX(E4:H4,1,$D$4))-(SUM(I4:L4)+INDEX(I4:L4,1,$M$4)))&gt;3,(1-2*B4)*((SUM(E4:H4)+INDEX(E4:H4,1,$D$4))-(SUM(I4:L4)+INDEX(I4:L4,1,$M$4))),"")</f>
        <v/>
      </c>
      <c r="O4" s="4" cm="1">
        <f t="array" ref="O4">IF(N4&lt;&gt;"",N4,IF(B4=0,(E4+F4+IF($D$4&lt;=2,INDEX(E4:H4,1,$D$4),0))-(K4+L4+IF($M$4&gt;=3,INDEX(I4:L4,1,$M$4),0)),(I4+J4+IF($M$4&lt;=2,INDEX(I4:L4,1,$M$4),0))-(G4+H4+IF($D$4&gt;=3,INDEX(E4:H4,1,$D$4),0))))</f>
        <v>0</v>
      </c>
      <c r="P4" s="4" t="str">
        <f>IF(O4&gt;3,"Onside Kick",IF(O4=3,"TD + 2PC",IF(O4=2,"Touchdown",IF(O4=1,"Field Goal",IF(O4&gt;-2,"Punt",IF(O4=-2,"Safety",IF(O4=-3,"Pick Six","House Call")))))))</f>
        <v>Punt</v>
      </c>
      <c r="Q4" s="10">
        <f>IF(O4&gt;1,IF(O4=3,8,7),IF(O4=1,3,0))</f>
        <v>0</v>
      </c>
      <c r="R4" s="11">
        <f>IF(O4&gt;-2,0,IF(O4=-2,2,IF(O4=-3,6,7)))</f>
        <v>0</v>
      </c>
      <c r="S4" s="4" t="str">
        <f>IF(OR(S3=D$1,S3=I$1),S3,IF(ABS(Q4-R4)&gt;(20-A4)*8,IF(Q4&gt;R4,D$1,I$1),"TBD"))</f>
        <v>TBD</v>
      </c>
      <c r="U4" s="29">
        <v>3</v>
      </c>
      <c r="V4" s="26" t="s">
        <v>29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1" ht="12" customHeight="1" x14ac:dyDescent="0.25">
      <c r="A5" s="4">
        <v>2</v>
      </c>
      <c r="B5" s="4">
        <f t="shared" ref="B5:B23" si="0">IF(AND(N4&lt;&gt;"",N4&gt;3),B4,1-B4)</f>
        <v>1</v>
      </c>
      <c r="C5" s="4" t="str">
        <f t="shared" ref="C5:C23" si="1">IF(B5=0,D$1,I$1)</f>
        <v>Steelers</v>
      </c>
      <c r="D5" s="21"/>
      <c r="E5" s="8"/>
      <c r="F5" s="8"/>
      <c r="G5" s="8"/>
      <c r="H5" s="8"/>
      <c r="I5" s="9"/>
      <c r="J5" s="9"/>
      <c r="K5" s="9"/>
      <c r="L5" s="9"/>
      <c r="M5" s="22"/>
      <c r="N5" s="4" t="str" cm="1">
        <f t="array" ref="N5">IF(ABS((SUM(E5:H5)+INDEX(E5:H5,1,$D$4))-(SUM(I5:L5)+INDEX(I5:L5,1,$M$4)))&gt;3,(1-2*B5)*((SUM(E5:H5)+INDEX(E5:H5,1,$D$4))-(SUM(I5:L5)+INDEX(I5:L5,1,$M$4))),"")</f>
        <v/>
      </c>
      <c r="O5" s="4" cm="1">
        <f t="array" ref="O5">IF(N5&lt;&gt;"",N5,IF(B5=0,(E5+F5+IF($D$4&lt;=2,INDEX(E5:H5,1,$D$4),0))-(K5+L5+IF($M$4&gt;=3,INDEX(I5:L5,1,$M$4),0)),(I5+J5+IF($M$4&lt;=2,INDEX(I5:L5,1,$M$4),0))-(G5+H5+IF($D$4&gt;=3,INDEX(E5:H5,1,$D$4),0))))</f>
        <v>0</v>
      </c>
      <c r="P5" s="4" t="str">
        <f t="shared" ref="P5:P23" si="2">IF(O5&gt;3,"Onside Kick",IF(O5=3,"TD + 2PC",IF(O5=2,"Touchdown",IF(O5=1,"Field Goal",IF(O5&gt;-2,"Punt",IF(O5=-2,"Safety",IF(O5=-3,"Pick Six","House Call")))))))</f>
        <v>Punt</v>
      </c>
      <c r="Q5" s="10">
        <f>IF(B5=0,Q4+IF(O5&gt;1,IF(O5=3,8,7),IF(O5=1,3,0)),Q4+IF(O5&gt;-2,0,IF(O5=-2,2,IF(O5=-3,6,7))))</f>
        <v>0</v>
      </c>
      <c r="R5" s="11">
        <f>IF(B5=0,R4+IF(O5&gt;-2,0,IF(O5=-2,2,IF(O5=-3,6,7))),R4+IF(O5&gt;1,IF(O5=3,8,7),IF(O5=1,3,0)))</f>
        <v>0</v>
      </c>
      <c r="S5" s="4" t="str">
        <f>IF(OR(S4=D$1,S4=I$1),S4,IF(ABS(Q5-R5)&gt;(20-A5)*8,IF(Q5&gt;R5,D$1,I$1),"TBD"))</f>
        <v>TBD</v>
      </c>
      <c r="U5" s="29"/>
      <c r="V5" s="6">
        <v>1</v>
      </c>
      <c r="W5" s="26" t="s">
        <v>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1" ht="12" customHeight="1" x14ac:dyDescent="0.25">
      <c r="A6" s="4">
        <v>3</v>
      </c>
      <c r="B6" s="4">
        <f t="shared" si="0"/>
        <v>0</v>
      </c>
      <c r="C6" s="4" t="str">
        <f t="shared" si="1"/>
        <v>Ravens</v>
      </c>
      <c r="D6" s="21"/>
      <c r="E6" s="8"/>
      <c r="F6" s="8"/>
      <c r="G6" s="8"/>
      <c r="H6" s="8"/>
      <c r="I6" s="9"/>
      <c r="J6" s="9"/>
      <c r="K6" s="9"/>
      <c r="L6" s="9"/>
      <c r="M6" s="22"/>
      <c r="N6" s="4" t="str" cm="1">
        <f t="array" ref="N6">IF(ABS((SUM(E6:H6)+INDEX(E6:H6,1,$D$4))-(SUM(I6:L6)+INDEX(I6:L6,1,$M$4)))&gt;3,(1-2*B6)*((SUM(E6:H6)+INDEX(E6:H6,1,$D$4))-(SUM(I6:L6)+INDEX(I6:L6,1,$M$4))),"")</f>
        <v/>
      </c>
      <c r="O6" s="4" cm="1">
        <f t="array" ref="O6">IF(N6&lt;&gt;"",N6,IF(B6=0,(E6+F6+IF($D$4&lt;=2,INDEX(E6:H6,1,$D$4),0))-(K6+L6+IF($M$4&gt;=3,INDEX(I6:L6,1,$M$4),0)),(I6+J6+IF($M$4&lt;=2,INDEX(I6:L6,1,$M$4),0))-(G6+H6+IF($D$4&gt;=3,INDEX(E6:H6,1,$D$4),0))))</f>
        <v>0</v>
      </c>
      <c r="P6" s="4" t="str">
        <f t="shared" si="2"/>
        <v>Punt</v>
      </c>
      <c r="Q6" s="10">
        <f t="shared" ref="Q6:Q23" si="3">IF(B6=0,Q5+IF(O6&gt;1,IF(O6=3,8,7),IF(O6=1,3,0)),Q5+IF(O6&gt;-2,0,IF(O6=-2,2,IF(O6=-3,6,7))))</f>
        <v>0</v>
      </c>
      <c r="R6" s="11">
        <f t="shared" ref="R6:R23" si="4">IF(B6=0,R5+IF(O6&gt;-2,0,IF(O6=-2,2,IF(O6=-3,6,7))),R5+IF(O6&gt;1,IF(O6=3,8,7),IF(O6=1,3,0)))</f>
        <v>0</v>
      </c>
      <c r="S6" s="4" t="str">
        <f t="shared" ref="S6:S23" si="5">IF(OR(S5=D$1,S5=I$1),S5,IF(ABS(Q6-R6)&gt;(20-A6)*8,IF(Q6&gt;R6,D$1,I$1),"TBD"))</f>
        <v>TBD</v>
      </c>
      <c r="U6" s="29"/>
      <c r="V6" s="12">
        <v>2</v>
      </c>
      <c r="W6" s="28" t="s">
        <v>27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12" customHeight="1" x14ac:dyDescent="0.25">
      <c r="A7" s="4">
        <v>4</v>
      </c>
      <c r="B7" s="4">
        <f t="shared" si="0"/>
        <v>1</v>
      </c>
      <c r="C7" s="4" t="str">
        <f t="shared" si="1"/>
        <v>Steelers</v>
      </c>
      <c r="D7" s="21"/>
      <c r="E7" s="8"/>
      <c r="F7" s="8"/>
      <c r="G7" s="8"/>
      <c r="H7" s="8"/>
      <c r="I7" s="9"/>
      <c r="J7" s="9"/>
      <c r="K7" s="9"/>
      <c r="L7" s="9"/>
      <c r="M7" s="22"/>
      <c r="N7" s="4" t="str" cm="1">
        <f t="array" ref="N7">IF(ABS((SUM(E7:H7)+INDEX(E7:H7,1,$D$4))-(SUM(I7:L7)+INDEX(I7:L7,1,$M$4)))&gt;3,(1-2*B7)*((SUM(E7:H7)+INDEX(E7:H7,1,$D$4))-(SUM(I7:L7)+INDEX(I7:L7,1,$M$4))),"")</f>
        <v/>
      </c>
      <c r="O7" s="4" cm="1">
        <f t="array" ref="O7">IF(N7&lt;&gt;"",N7,IF(B7=0,(E7+F7+IF($D$4&lt;=2,INDEX(E7:H7,1,$D$4),0))-(K7+L7+IF($M$4&gt;=3,INDEX(I7:L7,1,$M$4),0)),(I7+J7+IF($M$4&lt;=2,INDEX(I7:L7,1,$M$4),0))-(G7+H7+IF($D$4&gt;=3,INDEX(E7:H7,1,$D$4),0))))</f>
        <v>0</v>
      </c>
      <c r="P7" s="4" t="str">
        <f t="shared" si="2"/>
        <v>Punt</v>
      </c>
      <c r="Q7" s="10">
        <f t="shared" si="3"/>
        <v>0</v>
      </c>
      <c r="R7" s="11">
        <f t="shared" si="4"/>
        <v>0</v>
      </c>
      <c r="S7" s="4" t="str">
        <f t="shared" si="5"/>
        <v>TBD</v>
      </c>
      <c r="U7" s="33">
        <v>4</v>
      </c>
      <c r="V7" s="30" t="s">
        <v>33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</row>
    <row r="8" spans="1:41" ht="12" customHeight="1" x14ac:dyDescent="0.25">
      <c r="A8" s="4">
        <v>5</v>
      </c>
      <c r="B8" s="4">
        <f t="shared" si="0"/>
        <v>0</v>
      </c>
      <c r="C8" s="4" t="str">
        <f t="shared" si="1"/>
        <v>Ravens</v>
      </c>
      <c r="D8" s="21"/>
      <c r="E8" s="8"/>
      <c r="F8" s="8"/>
      <c r="G8" s="8"/>
      <c r="H8" s="8"/>
      <c r="I8" s="9"/>
      <c r="J8" s="9"/>
      <c r="K8" s="9"/>
      <c r="L8" s="9"/>
      <c r="M8" s="22"/>
      <c r="N8" s="4" t="str" cm="1">
        <f t="array" ref="N8">IF(ABS((SUM(E8:H8)+INDEX(E8:H8,1,$D$4))-(SUM(I8:L8)+INDEX(I8:L8,1,$M$4)))&gt;3,(1-2*B8)*((SUM(E8:H8)+INDEX(E8:H8,1,$D$4))-(SUM(I8:L8)+INDEX(I8:L8,1,$M$4))),"")</f>
        <v/>
      </c>
      <c r="O8" s="4" cm="1">
        <f t="array" ref="O8">IF(N8&lt;&gt;"",N8,IF(B8=0,(E8+F8+IF($D$4&lt;=2,INDEX(E8:H8,1,$D$4),0))-(K8+L8+IF($M$4&gt;=3,INDEX(I8:L8,1,$M$4),0)),(I8+J8+IF($M$4&lt;=2,INDEX(I8:L8,1,$M$4),0))-(G8+H8+IF($D$4&gt;=3,INDEX(E8:H8,1,$D$4),0))))</f>
        <v>0</v>
      </c>
      <c r="P8" s="4" t="str">
        <f t="shared" si="2"/>
        <v>Punt</v>
      </c>
      <c r="Q8" s="10">
        <f t="shared" si="3"/>
        <v>0</v>
      </c>
      <c r="R8" s="11">
        <f t="shared" si="4"/>
        <v>0</v>
      </c>
      <c r="S8" s="4" t="str">
        <f t="shared" si="5"/>
        <v>TBD</v>
      </c>
      <c r="U8" s="34"/>
      <c r="V8" s="35" t="s">
        <v>34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</row>
    <row r="9" spans="1:41" ht="12" customHeight="1" x14ac:dyDescent="0.25">
      <c r="A9" s="4">
        <v>6</v>
      </c>
      <c r="B9" s="4">
        <f t="shared" si="0"/>
        <v>1</v>
      </c>
      <c r="C9" s="4" t="str">
        <f t="shared" si="1"/>
        <v>Steelers</v>
      </c>
      <c r="D9" s="21"/>
      <c r="E9" s="8"/>
      <c r="F9" s="8"/>
      <c r="G9" s="8"/>
      <c r="H9" s="8"/>
      <c r="I9" s="9"/>
      <c r="J9" s="9"/>
      <c r="K9" s="9"/>
      <c r="L9" s="9"/>
      <c r="M9" s="22"/>
      <c r="N9" s="4" t="str" cm="1">
        <f t="array" ref="N9">IF(ABS((SUM(E9:H9)+INDEX(E9:H9,1,$D$4))-(SUM(I9:L9)+INDEX(I9:L9,1,$M$4)))&gt;3,(1-2*B9)*((SUM(E9:H9)+INDEX(E9:H9,1,$D$4))-(SUM(I9:L9)+INDEX(I9:L9,1,$M$4))),"")</f>
        <v/>
      </c>
      <c r="O9" s="4" cm="1">
        <f t="array" ref="O9">IF(N9&lt;&gt;"",N9,IF(B9=0,(E9+F9+IF($D$4&lt;=2,INDEX(E9:H9,1,$D$4),0))-(K9+L9+IF($M$4&gt;=3,INDEX(I9:L9,1,$M$4),0)),(I9+J9+IF($M$4&lt;=2,INDEX(I9:L9,1,$M$4),0))-(G9+H9+IF($D$4&gt;=3,INDEX(E9:H9,1,$D$4),0))))</f>
        <v>0</v>
      </c>
      <c r="P9" s="4" t="str">
        <f t="shared" si="2"/>
        <v>Punt</v>
      </c>
      <c r="Q9" s="10">
        <f t="shared" si="3"/>
        <v>0</v>
      </c>
      <c r="R9" s="11">
        <f t="shared" si="4"/>
        <v>0</v>
      </c>
      <c r="S9" s="4" t="str">
        <f t="shared" si="5"/>
        <v>TBD</v>
      </c>
      <c r="U9" s="13">
        <v>5</v>
      </c>
      <c r="V9" s="18" t="s">
        <v>35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</row>
    <row r="10" spans="1:41" ht="12" customHeight="1" x14ac:dyDescent="0.25">
      <c r="A10" s="4">
        <v>7</v>
      </c>
      <c r="B10" s="4">
        <f t="shared" si="0"/>
        <v>0</v>
      </c>
      <c r="C10" s="4" t="str">
        <f t="shared" si="1"/>
        <v>Ravens</v>
      </c>
      <c r="D10" s="21"/>
      <c r="E10" s="8"/>
      <c r="F10" s="8"/>
      <c r="G10" s="8"/>
      <c r="H10" s="8"/>
      <c r="I10" s="9"/>
      <c r="J10" s="9"/>
      <c r="K10" s="9"/>
      <c r="L10" s="9"/>
      <c r="M10" s="22"/>
      <c r="N10" s="4" t="str" cm="1">
        <f t="array" ref="N10">IF(ABS((SUM(E10:H10)+INDEX(E10:H10,1,$D$4))-(SUM(I10:L10)+INDEX(I10:L10,1,$M$4)))&gt;3,(1-2*B10)*((SUM(E10:H10)+INDEX(E10:H10,1,$D$4))-(SUM(I10:L10)+INDEX(I10:L10,1,$M$4))),"")</f>
        <v/>
      </c>
      <c r="O10" s="4" cm="1">
        <f t="array" ref="O10">IF(N10&lt;&gt;"",N10,IF(B10=0,(E10+F10+IF($D$4&lt;=2,INDEX(E10:H10,1,$D$4),0))-(K10+L10+IF($M$4&gt;=3,INDEX(I10:L10,1,$M$4),0)),(I10+J10+IF($M$4&lt;=2,INDEX(I10:L10,1,$M$4),0))-(G10+H10+IF($D$4&gt;=3,INDEX(E10:H10,1,$D$4),0))))</f>
        <v>0</v>
      </c>
      <c r="P10" s="4" t="str">
        <f t="shared" si="2"/>
        <v>Punt</v>
      </c>
      <c r="Q10" s="10">
        <f t="shared" si="3"/>
        <v>0</v>
      </c>
      <c r="R10" s="11">
        <f t="shared" si="4"/>
        <v>0</v>
      </c>
      <c r="S10" s="4" t="str">
        <f t="shared" si="5"/>
        <v>TBD</v>
      </c>
      <c r="U10" s="26" t="s">
        <v>24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12" customHeight="1" x14ac:dyDescent="0.25">
      <c r="A11" s="4">
        <v>8</v>
      </c>
      <c r="B11" s="4">
        <f t="shared" si="0"/>
        <v>1</v>
      </c>
      <c r="C11" s="4" t="str">
        <f t="shared" si="1"/>
        <v>Steelers</v>
      </c>
      <c r="D11" s="21"/>
      <c r="E11" s="8"/>
      <c r="F11" s="8"/>
      <c r="G11" s="8"/>
      <c r="H11" s="8"/>
      <c r="I11" s="9"/>
      <c r="J11" s="9"/>
      <c r="K11" s="9"/>
      <c r="L11" s="9"/>
      <c r="M11" s="22"/>
      <c r="N11" s="4" t="str" cm="1">
        <f t="array" ref="N11">IF(ABS((SUM(E11:H11)+INDEX(E11:H11,1,$D$4))-(SUM(I11:L11)+INDEX(I11:L11,1,$M$4)))&gt;3,(1-2*B11)*((SUM(E11:H11)+INDEX(E11:H11,1,$D$4))-(SUM(I11:L11)+INDEX(I11:L11,1,$M$4))),"")</f>
        <v/>
      </c>
      <c r="O11" s="4" cm="1">
        <f t="array" ref="O11">IF(N11&lt;&gt;"",N11,IF(B11=0,(E11+F11+IF($D$4&lt;=2,INDEX(E11:H11,1,$D$4),0))-(K11+L11+IF($M$4&gt;=3,INDEX(I11:L11,1,$M$4),0)),(I11+J11+IF($M$4&lt;=2,INDEX(I11:L11,1,$M$4),0))-(G11+H11+IF($D$4&gt;=3,INDEX(E11:H11,1,$D$4),0))))</f>
        <v>0</v>
      </c>
      <c r="P11" s="4" t="str">
        <f t="shared" si="2"/>
        <v>Punt</v>
      </c>
      <c r="Q11" s="10">
        <f t="shared" si="3"/>
        <v>0</v>
      </c>
      <c r="R11" s="11">
        <f t="shared" si="4"/>
        <v>0</v>
      </c>
      <c r="S11" s="4" t="str">
        <f t="shared" si="5"/>
        <v>TBD</v>
      </c>
      <c r="U11" s="17" t="s">
        <v>30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12" customHeight="1" x14ac:dyDescent="0.25">
      <c r="A12" s="4">
        <v>9</v>
      </c>
      <c r="B12" s="4">
        <f t="shared" si="0"/>
        <v>0</v>
      </c>
      <c r="C12" s="4" t="str">
        <f t="shared" si="1"/>
        <v>Ravens</v>
      </c>
      <c r="D12" s="21"/>
      <c r="E12" s="8"/>
      <c r="F12" s="8"/>
      <c r="G12" s="8"/>
      <c r="H12" s="8"/>
      <c r="I12" s="9"/>
      <c r="J12" s="9"/>
      <c r="K12" s="9"/>
      <c r="L12" s="9"/>
      <c r="M12" s="22"/>
      <c r="N12" s="4" t="str" cm="1">
        <f t="array" ref="N12">IF(ABS((SUM(E12:H12)+INDEX(E12:H12,1,$D$4))-(SUM(I12:L12)+INDEX(I12:L12,1,$M$4)))&gt;3,(1-2*B12)*((SUM(E12:H12)+INDEX(E12:H12,1,$D$4))-(SUM(I12:L12)+INDEX(I12:L12,1,$M$4))),"")</f>
        <v/>
      </c>
      <c r="O12" s="4" cm="1">
        <f t="array" ref="O12">IF(N12&lt;&gt;"",N12,IF(B12=0,(E12+F12+IF($D$4&lt;=2,INDEX(E12:H12,1,$D$4),0))-(K12+L12+IF($M$4&gt;=3,INDEX(I12:L12,1,$M$4),0)),(I12+J12+IF($M$4&lt;=2,INDEX(I12:L12,1,$M$4),0))-(G12+H12+IF($D$4&gt;=3,INDEX(E12:H12,1,$D$4),0))))</f>
        <v>0</v>
      </c>
      <c r="P12" s="4" t="str">
        <f t="shared" si="2"/>
        <v>Punt</v>
      </c>
      <c r="Q12" s="10">
        <f t="shared" si="3"/>
        <v>0</v>
      </c>
      <c r="R12" s="11">
        <f t="shared" si="4"/>
        <v>0</v>
      </c>
      <c r="S12" s="4" t="str">
        <f t="shared" si="5"/>
        <v>TBD</v>
      </c>
    </row>
    <row r="13" spans="1:41" ht="12" customHeight="1" x14ac:dyDescent="0.25">
      <c r="A13" s="4">
        <v>10</v>
      </c>
      <c r="B13" s="4">
        <f t="shared" si="0"/>
        <v>1</v>
      </c>
      <c r="C13" s="4" t="str">
        <f t="shared" si="1"/>
        <v>Steelers</v>
      </c>
      <c r="D13" s="21"/>
      <c r="E13" s="8"/>
      <c r="F13" s="8"/>
      <c r="G13" s="8"/>
      <c r="H13" s="8"/>
      <c r="I13" s="9"/>
      <c r="J13" s="9"/>
      <c r="K13" s="9"/>
      <c r="L13" s="9"/>
      <c r="M13" s="22"/>
      <c r="N13" s="4" t="str" cm="1">
        <f t="array" ref="N13">IF(ABS((SUM(E13:H13)+INDEX(E13:H13,1,$D$4))-(SUM(I13:L13)+INDEX(I13:L13,1,$M$4)))&gt;3,(1-2*B13)*((SUM(E13:H13)+INDEX(E13:H13,1,$D$4))-(SUM(I13:L13)+INDEX(I13:L13,1,$M$4))),"")</f>
        <v/>
      </c>
      <c r="O13" s="4" cm="1">
        <f t="array" ref="O13">IF(N13&lt;&gt;"",N13,IF(B13=0,(E13+F13+IF($D$4&lt;=2,INDEX(E13:H13,1,$D$4),0))-(K13+L13+IF($M$4&gt;=3,INDEX(I13:L13,1,$M$4),0)),(I13+J13+IF($M$4&lt;=2,INDEX(I13:L13,1,$M$4),0))-(G13+H13+IF($D$4&gt;=3,INDEX(E13:H13,1,$D$4),0))))</f>
        <v>0</v>
      </c>
      <c r="P13" s="4" t="str">
        <f t="shared" si="2"/>
        <v>Punt</v>
      </c>
      <c r="Q13" s="10">
        <f t="shared" si="3"/>
        <v>0</v>
      </c>
      <c r="R13" s="11">
        <f t="shared" si="4"/>
        <v>0</v>
      </c>
      <c r="S13" s="4" t="str">
        <f t="shared" si="5"/>
        <v>TBD</v>
      </c>
    </row>
    <row r="14" spans="1:41" ht="12" customHeight="1" x14ac:dyDescent="0.25">
      <c r="A14" s="4">
        <v>11</v>
      </c>
      <c r="B14" s="4">
        <f t="shared" si="0"/>
        <v>0</v>
      </c>
      <c r="C14" s="4" t="str">
        <f t="shared" si="1"/>
        <v>Ravens</v>
      </c>
      <c r="D14" s="21"/>
      <c r="E14" s="8"/>
      <c r="F14" s="8"/>
      <c r="G14" s="8"/>
      <c r="H14" s="8"/>
      <c r="I14" s="9"/>
      <c r="J14" s="9"/>
      <c r="K14" s="9"/>
      <c r="L14" s="9"/>
      <c r="M14" s="22"/>
      <c r="N14" s="4" t="str" cm="1">
        <f t="array" ref="N14">IF(ABS((SUM(E14:H14)+INDEX(E14:H14,1,$D$4))-(SUM(I14:L14)+INDEX(I14:L14,1,$M$4)))&gt;3,(1-2*B14)*((SUM(E14:H14)+INDEX(E14:H14,1,$D$4))-(SUM(I14:L14)+INDEX(I14:L14,1,$M$4))),"")</f>
        <v/>
      </c>
      <c r="O14" s="4" cm="1">
        <f t="array" ref="O14">IF(N14&lt;&gt;"",N14,IF(B14=0,(E14+F14+IF($D$4&lt;=2,INDEX(E14:H14,1,$D$4),0))-(K14+L14+IF($M$4&gt;=3,INDEX(I14:L14,1,$M$4),0)),(I14+J14+IF($M$4&lt;=2,INDEX(I14:L14,1,$M$4),0))-(G14+H14+IF($D$4&gt;=3,INDEX(E14:H14,1,$D$4),0))))</f>
        <v>0</v>
      </c>
      <c r="P14" s="4" t="str">
        <f t="shared" si="2"/>
        <v>Punt</v>
      </c>
      <c r="Q14" s="10">
        <f t="shared" si="3"/>
        <v>0</v>
      </c>
      <c r="R14" s="11">
        <f t="shared" si="4"/>
        <v>0</v>
      </c>
      <c r="S14" s="4" t="str">
        <f t="shared" si="5"/>
        <v>TBD</v>
      </c>
    </row>
    <row r="15" spans="1:41" ht="12" customHeight="1" x14ac:dyDescent="0.25">
      <c r="A15" s="4">
        <v>12</v>
      </c>
      <c r="B15" s="4">
        <f t="shared" si="0"/>
        <v>1</v>
      </c>
      <c r="C15" s="4" t="str">
        <f t="shared" si="1"/>
        <v>Steelers</v>
      </c>
      <c r="D15" s="21"/>
      <c r="E15" s="8"/>
      <c r="F15" s="8"/>
      <c r="G15" s="8"/>
      <c r="H15" s="8"/>
      <c r="I15" s="9"/>
      <c r="J15" s="9"/>
      <c r="K15" s="9"/>
      <c r="L15" s="9"/>
      <c r="M15" s="22"/>
      <c r="N15" s="4" t="str" cm="1">
        <f t="array" ref="N15">IF(ABS((SUM(E15:H15)+INDEX(E15:H15,1,$D$4))-(SUM(I15:L15)+INDEX(I15:L15,1,$M$4)))&gt;3,(1-2*B15)*((SUM(E15:H15)+INDEX(E15:H15,1,$D$4))-(SUM(I15:L15)+INDEX(I15:L15,1,$M$4))),"")</f>
        <v/>
      </c>
      <c r="O15" s="4" cm="1">
        <f t="array" ref="O15">IF(N15&lt;&gt;"",N15,IF(B15=0,(E15+F15+IF($D$4&lt;=2,INDEX(E15:H15,1,$D$4),0))-(K15+L15+IF($M$4&gt;=3,INDEX(I15:L15,1,$M$4),0)),(I15+J15+IF($M$4&lt;=2,INDEX(I15:L15,1,$M$4),0))-(G15+H15+IF($D$4&gt;=3,INDEX(E15:H15,1,$D$4),0))))</f>
        <v>0</v>
      </c>
      <c r="P15" s="4" t="str">
        <f t="shared" si="2"/>
        <v>Punt</v>
      </c>
      <c r="Q15" s="10">
        <f t="shared" si="3"/>
        <v>0</v>
      </c>
      <c r="R15" s="11">
        <f t="shared" si="4"/>
        <v>0</v>
      </c>
      <c r="S15" s="4" t="str">
        <f t="shared" si="5"/>
        <v>TBD</v>
      </c>
    </row>
    <row r="16" spans="1:41" ht="12" customHeight="1" x14ac:dyDescent="0.25">
      <c r="A16" s="4">
        <v>13</v>
      </c>
      <c r="B16" s="4">
        <f t="shared" si="0"/>
        <v>0</v>
      </c>
      <c r="C16" s="4" t="str">
        <f t="shared" si="1"/>
        <v>Ravens</v>
      </c>
      <c r="D16" s="21"/>
      <c r="E16" s="8"/>
      <c r="F16" s="8"/>
      <c r="G16" s="8"/>
      <c r="H16" s="8"/>
      <c r="I16" s="9"/>
      <c r="J16" s="9"/>
      <c r="K16" s="9"/>
      <c r="L16" s="9"/>
      <c r="M16" s="22"/>
      <c r="N16" s="4" t="str" cm="1">
        <f t="array" ref="N16">IF(ABS((SUM(E16:H16)+INDEX(E16:H16,1,$D$4))-(SUM(I16:L16)+INDEX(I16:L16,1,$M$4)))&gt;3,(1-2*B16)*((SUM(E16:H16)+INDEX(E16:H16,1,$D$4))-(SUM(I16:L16)+INDEX(I16:L16,1,$M$4))),"")</f>
        <v/>
      </c>
      <c r="O16" s="4" cm="1">
        <f t="array" ref="O16">IF(N16&lt;&gt;"",N16,IF(B16=0,(E16+F16+IF($D$4&lt;=2,INDEX(E16:H16,1,$D$4),0))-(K16+L16+IF($M$4&gt;=3,INDEX(I16:L16,1,$M$4),0)),(I16+J16+IF($M$4&lt;=2,INDEX(I16:L16,1,$M$4),0))-(G16+H16+IF($D$4&gt;=3,INDEX(E16:H16,1,$D$4),0))))</f>
        <v>0</v>
      </c>
      <c r="P16" s="4" t="str">
        <f t="shared" si="2"/>
        <v>Punt</v>
      </c>
      <c r="Q16" s="10">
        <f t="shared" si="3"/>
        <v>0</v>
      </c>
      <c r="R16" s="11">
        <f t="shared" si="4"/>
        <v>0</v>
      </c>
      <c r="S16" s="4" t="str">
        <f t="shared" si="5"/>
        <v>TBD</v>
      </c>
    </row>
    <row r="17" spans="1:19" ht="12" customHeight="1" x14ac:dyDescent="0.25">
      <c r="A17" s="4">
        <v>14</v>
      </c>
      <c r="B17" s="4">
        <f t="shared" si="0"/>
        <v>1</v>
      </c>
      <c r="C17" s="4" t="str">
        <f t="shared" si="1"/>
        <v>Steelers</v>
      </c>
      <c r="D17" s="21"/>
      <c r="E17" s="8"/>
      <c r="F17" s="8"/>
      <c r="G17" s="8"/>
      <c r="H17" s="8"/>
      <c r="I17" s="9"/>
      <c r="J17" s="9"/>
      <c r="K17" s="9"/>
      <c r="L17" s="9"/>
      <c r="M17" s="22"/>
      <c r="N17" s="4" t="str" cm="1">
        <f t="array" ref="N17">IF(ABS((SUM(E17:H17)+INDEX(E17:H17,1,$D$4))-(SUM(I17:L17)+INDEX(I17:L17,1,$M$4)))&gt;3,(1-2*B17)*((SUM(E17:H17)+INDEX(E17:H17,1,$D$4))-(SUM(I17:L17)+INDEX(I17:L17,1,$M$4))),"")</f>
        <v/>
      </c>
      <c r="O17" s="4" cm="1">
        <f t="array" ref="O17">IF(N17&lt;&gt;"",N17,IF(B17=0,(E17+F17+IF($D$4&lt;=2,INDEX(E17:H17,1,$D$4),0))-(K17+L17+IF($M$4&gt;=3,INDEX(I17:L17,1,$M$4),0)),(I17+J17+IF($M$4&lt;=2,INDEX(I17:L17,1,$M$4),0))-(G17+H17+IF($D$4&gt;=3,INDEX(E17:H17,1,$D$4),0))))</f>
        <v>0</v>
      </c>
      <c r="P17" s="4" t="str">
        <f t="shared" si="2"/>
        <v>Punt</v>
      </c>
      <c r="Q17" s="10">
        <f t="shared" si="3"/>
        <v>0</v>
      </c>
      <c r="R17" s="11">
        <f t="shared" si="4"/>
        <v>0</v>
      </c>
      <c r="S17" s="4" t="str">
        <f t="shared" si="5"/>
        <v>TBD</v>
      </c>
    </row>
    <row r="18" spans="1:19" ht="12" customHeight="1" x14ac:dyDescent="0.25">
      <c r="A18" s="4">
        <v>15</v>
      </c>
      <c r="B18" s="4">
        <f t="shared" si="0"/>
        <v>0</v>
      </c>
      <c r="C18" s="4" t="str">
        <f t="shared" si="1"/>
        <v>Ravens</v>
      </c>
      <c r="D18" s="21"/>
      <c r="E18" s="8"/>
      <c r="F18" s="8"/>
      <c r="G18" s="8"/>
      <c r="H18" s="8"/>
      <c r="I18" s="9"/>
      <c r="J18" s="9"/>
      <c r="K18" s="9"/>
      <c r="L18" s="9"/>
      <c r="M18" s="22"/>
      <c r="N18" s="4" t="str" cm="1">
        <f t="array" ref="N18">IF(ABS((SUM(E18:H18)+INDEX(E18:H18,1,$D$4))-(SUM(I18:L18)+INDEX(I18:L18,1,$M$4)))&gt;3,(1-2*B18)*((SUM(E18:H18)+INDEX(E18:H18,1,$D$4))-(SUM(I18:L18)+INDEX(I18:L18,1,$M$4))),"")</f>
        <v/>
      </c>
      <c r="O18" s="4" cm="1">
        <f t="array" ref="O18">IF(N18&lt;&gt;"",N18,IF(B18=0,(E18+F18+IF($D$4&lt;=2,INDEX(E18:H18,1,$D$4),0))-(K18+L18+IF($M$4&gt;=3,INDEX(I18:L18,1,$M$4),0)),(I18+J18+IF($M$4&lt;=2,INDEX(I18:L18,1,$M$4),0))-(G18+H18+IF($D$4&gt;=3,INDEX(E18:H18,1,$D$4),0))))</f>
        <v>0</v>
      </c>
      <c r="P18" s="4" t="str">
        <f t="shared" si="2"/>
        <v>Punt</v>
      </c>
      <c r="Q18" s="10">
        <f t="shared" si="3"/>
        <v>0</v>
      </c>
      <c r="R18" s="11">
        <f t="shared" si="4"/>
        <v>0</v>
      </c>
      <c r="S18" s="4" t="str">
        <f t="shared" si="5"/>
        <v>TBD</v>
      </c>
    </row>
    <row r="19" spans="1:19" ht="12" customHeight="1" x14ac:dyDescent="0.25">
      <c r="A19" s="4">
        <v>16</v>
      </c>
      <c r="B19" s="4">
        <f t="shared" si="0"/>
        <v>1</v>
      </c>
      <c r="C19" s="4" t="str">
        <f t="shared" si="1"/>
        <v>Steelers</v>
      </c>
      <c r="D19" s="21"/>
      <c r="E19" s="8"/>
      <c r="F19" s="8"/>
      <c r="G19" s="8"/>
      <c r="H19" s="8"/>
      <c r="I19" s="9"/>
      <c r="J19" s="9"/>
      <c r="K19" s="9"/>
      <c r="L19" s="9"/>
      <c r="M19" s="22"/>
      <c r="N19" s="4" t="str" cm="1">
        <f t="array" ref="N19">IF(ABS((SUM(E19:H19)+INDEX(E19:H19,1,$D$4))-(SUM(I19:L19)+INDEX(I19:L19,1,$M$4)))&gt;3,(1-2*B19)*((SUM(E19:H19)+INDEX(E19:H19,1,$D$4))-(SUM(I19:L19)+INDEX(I19:L19,1,$M$4))),"")</f>
        <v/>
      </c>
      <c r="O19" s="4" cm="1">
        <f t="array" ref="O19">IF(N19&lt;&gt;"",N19,IF(B19=0,(E19+F19+IF($D$4&lt;=2,INDEX(E19:H19,1,$D$4),0))-(K19+L19+IF($M$4&gt;=3,INDEX(I19:L19,1,$M$4),0)),(I19+J19+IF($M$4&lt;=2,INDEX(I19:L19,1,$M$4),0))-(G19+H19+IF($D$4&gt;=3,INDEX(E19:H19,1,$D$4),0))))</f>
        <v>0</v>
      </c>
      <c r="P19" s="4" t="str">
        <f t="shared" si="2"/>
        <v>Punt</v>
      </c>
      <c r="Q19" s="10">
        <f t="shared" si="3"/>
        <v>0</v>
      </c>
      <c r="R19" s="11">
        <f t="shared" si="4"/>
        <v>0</v>
      </c>
      <c r="S19" s="4" t="str">
        <f t="shared" si="5"/>
        <v>TBD</v>
      </c>
    </row>
    <row r="20" spans="1:19" ht="12" customHeight="1" x14ac:dyDescent="0.25">
      <c r="A20" s="4">
        <v>17</v>
      </c>
      <c r="B20" s="4">
        <f t="shared" si="0"/>
        <v>0</v>
      </c>
      <c r="C20" s="4" t="str">
        <f t="shared" si="1"/>
        <v>Ravens</v>
      </c>
      <c r="D20" s="21"/>
      <c r="E20" s="8"/>
      <c r="F20" s="8"/>
      <c r="G20" s="8"/>
      <c r="H20" s="8"/>
      <c r="I20" s="9"/>
      <c r="J20" s="9"/>
      <c r="K20" s="9"/>
      <c r="L20" s="9"/>
      <c r="M20" s="22"/>
      <c r="N20" s="4" t="str" cm="1">
        <f t="array" ref="N20">IF(ABS((SUM(E20:H20)+INDEX(E20:H20,1,$D$4))-(SUM(I20:L20)+INDEX(I20:L20,1,$M$4)))&gt;3,(1-2*B20)*((SUM(E20:H20)+INDEX(E20:H20,1,$D$4))-(SUM(I20:L20)+INDEX(I20:L20,1,$M$4))),"")</f>
        <v/>
      </c>
      <c r="O20" s="4" cm="1">
        <f t="array" ref="O20">IF(N20&lt;&gt;"",N20,IF(B20=0,(E20+F20+IF($D$4&lt;=2,INDEX(E20:H20,1,$D$4),0))-(K20+L20+IF($M$4&gt;=3,INDEX(I20:L20,1,$M$4),0)),(I20+J20+IF($M$4&lt;=2,INDEX(I20:L20,1,$M$4),0))-(G20+H20+IF($D$4&gt;=3,INDEX(E20:H20,1,$D$4),0))))</f>
        <v>0</v>
      </c>
      <c r="P20" s="4" t="str">
        <f t="shared" si="2"/>
        <v>Punt</v>
      </c>
      <c r="Q20" s="10">
        <f t="shared" si="3"/>
        <v>0</v>
      </c>
      <c r="R20" s="11">
        <f t="shared" si="4"/>
        <v>0</v>
      </c>
      <c r="S20" s="4" t="str">
        <f t="shared" si="5"/>
        <v>TBD</v>
      </c>
    </row>
    <row r="21" spans="1:19" ht="12" customHeight="1" x14ac:dyDescent="0.25">
      <c r="A21" s="4">
        <v>18</v>
      </c>
      <c r="B21" s="4">
        <f t="shared" si="0"/>
        <v>1</v>
      </c>
      <c r="C21" s="4" t="str">
        <f t="shared" si="1"/>
        <v>Steelers</v>
      </c>
      <c r="D21" s="21"/>
      <c r="E21" s="8"/>
      <c r="F21" s="8"/>
      <c r="G21" s="8"/>
      <c r="H21" s="8"/>
      <c r="I21" s="9"/>
      <c r="J21" s="9"/>
      <c r="K21" s="9"/>
      <c r="L21" s="9"/>
      <c r="M21" s="22"/>
      <c r="N21" s="4" t="str" cm="1">
        <f t="array" ref="N21">IF(ABS((SUM(E21:H21)+INDEX(E21:H21,1,$D$4))-(SUM(I21:L21)+INDEX(I21:L21,1,$M$4)))&gt;3,(1-2*B21)*((SUM(E21:H21)+INDEX(E21:H21,1,$D$4))-(SUM(I21:L21)+INDEX(I21:L21,1,$M$4))),"")</f>
        <v/>
      </c>
      <c r="O21" s="4" cm="1">
        <f t="array" ref="O21">IF(N21&lt;&gt;"",N21,IF(B21=0,(E21+F21+IF($D$4&lt;=2,INDEX(E21:H21,1,$D$4),0))-(K21+L21+IF($M$4&gt;=3,INDEX(I21:L21,1,$M$4),0)),(I21+J21+IF($M$4&lt;=2,INDEX(I21:L21,1,$M$4),0))-(G21+H21+IF($D$4&gt;=3,INDEX(E21:H21,1,$D$4),0))))</f>
        <v>0</v>
      </c>
      <c r="P21" s="4" t="str">
        <f t="shared" si="2"/>
        <v>Punt</v>
      </c>
      <c r="Q21" s="10">
        <f t="shared" si="3"/>
        <v>0</v>
      </c>
      <c r="R21" s="11">
        <f t="shared" si="4"/>
        <v>0</v>
      </c>
      <c r="S21" s="4" t="str">
        <f t="shared" si="5"/>
        <v>TBD</v>
      </c>
    </row>
    <row r="22" spans="1:19" ht="12" customHeight="1" x14ac:dyDescent="0.25">
      <c r="A22" s="4">
        <v>19</v>
      </c>
      <c r="B22" s="4">
        <f t="shared" si="0"/>
        <v>0</v>
      </c>
      <c r="C22" s="4" t="str">
        <f t="shared" si="1"/>
        <v>Ravens</v>
      </c>
      <c r="D22" s="21"/>
      <c r="E22" s="8"/>
      <c r="F22" s="8"/>
      <c r="G22" s="8"/>
      <c r="H22" s="8"/>
      <c r="I22" s="9"/>
      <c r="J22" s="9"/>
      <c r="K22" s="9"/>
      <c r="L22" s="9"/>
      <c r="M22" s="22"/>
      <c r="N22" s="4" t="str" cm="1">
        <f t="array" ref="N22">IF(ABS((SUM(E22:H22)+INDEX(E22:H22,1,$D$4))-(SUM(I22:L22)+INDEX(I22:L22,1,$M$4)))&gt;3,(1-2*B22)*((SUM(E22:H22)+INDEX(E22:H22,1,$D$4))-(SUM(I22:L22)+INDEX(I22:L22,1,$M$4))),"")</f>
        <v/>
      </c>
      <c r="O22" s="4" cm="1">
        <f t="array" ref="O22">IF(N22&lt;&gt;"",N22,IF(B22=0,(E22+F22+IF($D$4&lt;=2,INDEX(E22:H22,1,$D$4),0))-(K22+L22+IF($M$4&gt;=3,INDEX(I22:L22,1,$M$4),0)),(I22+J22+IF($M$4&lt;=2,INDEX(I22:L22,1,$M$4),0))-(G22+H22+IF($D$4&gt;=3,INDEX(E22:H22,1,$D$4),0))))</f>
        <v>0</v>
      </c>
      <c r="P22" s="4" t="str">
        <f t="shared" si="2"/>
        <v>Punt</v>
      </c>
      <c r="Q22" s="10">
        <f t="shared" si="3"/>
        <v>0</v>
      </c>
      <c r="R22" s="11">
        <f t="shared" si="4"/>
        <v>0</v>
      </c>
      <c r="S22" s="4" t="str">
        <f t="shared" si="5"/>
        <v>TBD</v>
      </c>
    </row>
    <row r="23" spans="1:19" ht="12" customHeight="1" x14ac:dyDescent="0.25">
      <c r="A23" s="4">
        <v>20</v>
      </c>
      <c r="B23" s="4">
        <f t="shared" si="0"/>
        <v>1</v>
      </c>
      <c r="C23" s="4" t="str">
        <f t="shared" si="1"/>
        <v>Steelers</v>
      </c>
      <c r="D23" s="21"/>
      <c r="E23" s="8"/>
      <c r="F23" s="8"/>
      <c r="G23" s="8"/>
      <c r="H23" s="8"/>
      <c r="I23" s="9"/>
      <c r="J23" s="9"/>
      <c r="K23" s="9"/>
      <c r="L23" s="9"/>
      <c r="M23" s="22"/>
      <c r="N23" s="4" t="str" cm="1">
        <f t="array" ref="N23">IF(ABS((SUM(E23:H23)+INDEX(E23:H23,1,$D$4))-(SUM(I23:L23)+INDEX(I23:L23,1,$M$4)))&gt;3,(1-2*B23)*((SUM(E23:H23)+INDEX(E23:H23,1,$D$4))-(SUM(I23:L23)+INDEX(I23:L23,1,$M$4))),"")</f>
        <v/>
      </c>
      <c r="O23" s="4" cm="1">
        <f t="array" ref="O23">IF(N23&lt;&gt;"",N23,IF(B23=0,(E23+F23+IF($D$4&lt;=2,INDEX(E23:H23,1,$D$4),0))-(K23+L23+IF($M$4&gt;=3,INDEX(I23:L23,1,$M$4),0)),(I23+J23+IF($M$4&lt;=2,INDEX(I23:L23,1,$M$4),0))-(G23+H23+IF($D$4&gt;=3,INDEX(E23:H23,1,$D$4),0))))</f>
        <v>0</v>
      </c>
      <c r="P23" s="4" t="str">
        <f t="shared" si="2"/>
        <v>Punt</v>
      </c>
      <c r="Q23" s="10">
        <f t="shared" si="3"/>
        <v>0</v>
      </c>
      <c r="R23" s="11">
        <f t="shared" si="4"/>
        <v>0</v>
      </c>
      <c r="S23" s="4" t="str">
        <f t="shared" si="5"/>
        <v>TBD</v>
      </c>
    </row>
    <row r="24" spans="1:19" ht="12" customHeight="1" x14ac:dyDescent="0.25">
      <c r="A24" s="23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" customHeight="1" x14ac:dyDescent="0.25">
      <c r="A25" s="4">
        <v>1</v>
      </c>
      <c r="B25" s="4">
        <v>0</v>
      </c>
      <c r="C25" s="4" t="str">
        <f t="shared" ref="C25:C29" si="6">IF(B25=0,D$1,I$1)</f>
        <v>Ravens</v>
      </c>
      <c r="D25" s="21">
        <f>D4</f>
        <v>1</v>
      </c>
      <c r="E25" s="8"/>
      <c r="F25" s="8"/>
      <c r="G25" s="8"/>
      <c r="H25" s="8"/>
      <c r="I25" s="9"/>
      <c r="J25" s="9"/>
      <c r="K25" s="9"/>
      <c r="L25" s="9"/>
      <c r="M25" s="22">
        <f>M4</f>
        <v>1</v>
      </c>
      <c r="N25" s="4" t="str" cm="1">
        <f t="array" ref="N25">IF(ABS((SUM(E25:H25)+INDEX(E25:H25,1,$D$4))-(SUM(I25:L25)+INDEX(I25:L25,1,$M$4)))&gt;3,(1-2*B25)*((SUM(E25:H25)+INDEX(E25:H25,1,$D$4))-(SUM(I25:L25)+INDEX(I25:L25,1,$M$4))),"")</f>
        <v/>
      </c>
      <c r="O25" s="4" cm="1">
        <f t="array" ref="O25">IF(N25&lt;&gt;"",N25,IF(B25=0,(E25+F25+IF($D$4&lt;=2,INDEX(E25:H25,1,$D$4),0))-(K25+L25+IF($M$4&gt;=3,INDEX(I25:L25,1,$M$4),0)),(I25+J25+IF($M$4&lt;=2,INDEX(I25:L25,1,$M$4),0))-(G25+H25+IF($D$4&gt;=3,INDEX(E25:H25,1,$D$4),0))))</f>
        <v>0</v>
      </c>
      <c r="P25" s="4" t="str">
        <f t="shared" ref="P25:P29" si="7">IF(O25&gt;3,"Onside Kick",IF(O25=3,"TD + 2PC",IF(O25=2,"Touchdown",IF(O25=1,"Field Goal",IF(O25&gt;-2,"Punt",IF(O25=-2,"Safety",IF(O25=-3,"Pick Six","House Call")))))))</f>
        <v>Punt</v>
      </c>
      <c r="Q25" s="10">
        <f>Q23+IF(O25&gt;2,IF(O25=3,8,7),IF(O25=2,6,IF(O25=1,3,0)))</f>
        <v>0</v>
      </c>
      <c r="R25" s="11">
        <f>R23+IF(O25&gt;-2,0,IF(O25=-2,2,IF(O25=-3,6,7)))</f>
        <v>0</v>
      </c>
      <c r="S25" s="4" t="str">
        <f>IF(OR(S23=D$1,S23=I$1),S23,IF(A25=1,IF(O25&gt;3,$D$1,IF(O25&lt;-1,$I$1,"TBD")),IF(Q25&gt;R25,$D$1,IF(R25&gt;Q25,$I$1,IF(A25=5,"Tie","TBD")))))</f>
        <v>TBD</v>
      </c>
    </row>
    <row r="26" spans="1:19" ht="12" customHeight="1" x14ac:dyDescent="0.25">
      <c r="A26" s="4">
        <v>2</v>
      </c>
      <c r="B26" s="4">
        <f>IF(AND(N25&lt;&gt;"",N25&gt;3),B25,1-B25)</f>
        <v>1</v>
      </c>
      <c r="C26" s="4" t="str">
        <f t="shared" si="6"/>
        <v>Steelers</v>
      </c>
      <c r="D26" s="21"/>
      <c r="E26" s="8"/>
      <c r="F26" s="8"/>
      <c r="G26" s="8"/>
      <c r="H26" s="8"/>
      <c r="I26" s="9"/>
      <c r="J26" s="9"/>
      <c r="K26" s="9"/>
      <c r="L26" s="9"/>
      <c r="M26" s="22"/>
      <c r="N26" s="4" t="str" cm="1">
        <f t="array" ref="N26">IF(ABS((SUM(E26:H26)+INDEX(E26:H26,1,$D$4))-(SUM(I26:L26)+INDEX(I26:L26,1,$M$4)))&gt;3,(1-2*B26)*((SUM(E26:H26)+INDEX(E26:H26,1,$D$4))-(SUM(I26:L26)+INDEX(I26:L26,1,$M$4))),"")</f>
        <v/>
      </c>
      <c r="O26" s="4" cm="1">
        <f t="array" ref="O26">IF(N26&lt;&gt;"",N26,IF(B26=0,(E26+F26+IF($D$4&lt;=2,INDEX(E26:H26,1,$D$4),0))-(K26+L26+IF($M$4&gt;=3,INDEX(I26:L26,1,$M$4),0)),(I26+J26+IF($M$4&lt;=2,INDEX(I26:L26,1,$M$4),0))-(G26+H26+IF($D$4&gt;=3,INDEX(E26:H26,1,$D$4),0))))</f>
        <v>0</v>
      </c>
      <c r="P26" s="4" t="str">
        <f t="shared" si="7"/>
        <v>Punt</v>
      </c>
      <c r="Q26" s="10">
        <f>IF(B26=0,Q25+IF(O26&gt;1,IF(O26=3,8,7),IF(O26=1,3,0)),Q25+IF(O26&gt;-2,0,IF(O26=-2,2,IF(O26=-3,6,7))))</f>
        <v>0</v>
      </c>
      <c r="R26" s="11">
        <f t="shared" ref="R26:R29" si="8">IF(B26=0,R25+IF(O26&gt;-2,0,IF(O26=-2,2,IF(O26=-3,6,7))),R25+IF(O26&gt;1,IF(O26=3,8,7),IF(O26=1,3,0)))</f>
        <v>0</v>
      </c>
      <c r="S26" s="4" t="str">
        <f>IF(OR(S25=D$1,S25=I$1),S25,IF(A26=1,IF(O26&gt;3,$D$1,IF(O26&lt;-1,$I$1,"TBD")),IF(Q26&gt;R26,$D$1,IF(R26&gt;Q26,$I$1,IF(A26=5,"Tie","TBD")))))</f>
        <v>TBD</v>
      </c>
    </row>
    <row r="27" spans="1:19" ht="12" customHeight="1" x14ac:dyDescent="0.25">
      <c r="A27" s="4">
        <v>3</v>
      </c>
      <c r="B27" s="4">
        <f>IF(AND(N26&lt;&gt;"",N26&gt;3),B26,1-B26)</f>
        <v>0</v>
      </c>
      <c r="C27" s="4" t="str">
        <f t="shared" si="6"/>
        <v>Ravens</v>
      </c>
      <c r="D27" s="21"/>
      <c r="E27" s="8"/>
      <c r="F27" s="8"/>
      <c r="G27" s="8"/>
      <c r="H27" s="8"/>
      <c r="I27" s="9"/>
      <c r="J27" s="9"/>
      <c r="K27" s="9"/>
      <c r="L27" s="9"/>
      <c r="M27" s="22"/>
      <c r="N27" s="4" t="str" cm="1">
        <f t="array" ref="N27">IF(ABS((SUM(E27:H27)+INDEX(E27:H27,1,$D$4))-(SUM(I27:L27)+INDEX(I27:L27,1,$M$4)))&gt;3,(1-2*B27)*((SUM(E27:H27)+INDEX(E27:H27,1,$D$4))-(SUM(I27:L27)+INDEX(I27:L27,1,$M$4))),"")</f>
        <v/>
      </c>
      <c r="O27" s="4" cm="1">
        <f t="array" ref="O27">IF(N27&lt;&gt;"",N27,IF(B27=0,(E27+F27+IF($D$4&lt;=2,INDEX(E27:H27,1,$D$4),0))-(K27+L27+IF($M$4&gt;=3,INDEX(I27:L27,1,$M$4),0)),(I27+J27+IF($M$4&lt;=2,INDEX(I27:L27,1,$M$4),0))-(G27+H27+IF($D$4&gt;=3,INDEX(E27:H27,1,$D$4),0))))</f>
        <v>0</v>
      </c>
      <c r="P27" s="4" t="str">
        <f t="shared" si="7"/>
        <v>Punt</v>
      </c>
      <c r="Q27" s="10">
        <f>IF(B27=0,Q26+IF(O27&gt;1,IF(O27=3,8,7),IF(O27=1,3,0)),Q26+IF(O27&gt;-2,0,IF(O27=-2,2,IF(O27=-3,6,7))))</f>
        <v>0</v>
      </c>
      <c r="R27" s="11">
        <f t="shared" si="8"/>
        <v>0</v>
      </c>
      <c r="S27" s="4" t="str">
        <f t="shared" ref="S27:S29" si="9">IF(OR(S26=D$1,S26=I$1),S26,IF(A27=1,IF(O27&gt;3,$D$1,IF(O27&lt;-1,$I$1,"TBD")),IF(Q27&gt;R27,$D$1,IF(R27&gt;Q27,$I$1,IF(A27=5,"Tie","TBD")))))</f>
        <v>TBD</v>
      </c>
    </row>
    <row r="28" spans="1:19" ht="12" customHeight="1" x14ac:dyDescent="0.25">
      <c r="A28" s="4">
        <v>4</v>
      </c>
      <c r="B28" s="4">
        <f>IF(AND(N27&lt;&gt;"",N27&gt;3),B27,1-B27)</f>
        <v>1</v>
      </c>
      <c r="C28" s="4" t="str">
        <f t="shared" si="6"/>
        <v>Steelers</v>
      </c>
      <c r="D28" s="21"/>
      <c r="E28" s="8"/>
      <c r="F28" s="8"/>
      <c r="G28" s="8"/>
      <c r="H28" s="8"/>
      <c r="I28" s="9"/>
      <c r="J28" s="9"/>
      <c r="K28" s="9"/>
      <c r="L28" s="9"/>
      <c r="M28" s="22"/>
      <c r="N28" s="4" t="str" cm="1">
        <f t="array" ref="N28">IF(ABS((SUM(E28:H28)+INDEX(E28:H28,1,$D$4))-(SUM(I28:L28)+INDEX(I28:L28,1,$M$4)))&gt;3,(1-2*B28)*((SUM(E28:H28)+INDEX(E28:H28,1,$D$4))-(SUM(I28:L28)+INDEX(I28:L28,1,$M$4))),"")</f>
        <v/>
      </c>
      <c r="O28" s="4" cm="1">
        <f t="array" ref="O28">IF(N28&lt;&gt;"",N28,IF(B28=0,(E28+F28+IF($D$4&lt;=2,INDEX(E28:H28,1,$D$4),0))-(K28+L28+IF($M$4&gt;=3,INDEX(I28:L28,1,$M$4),0)),(I28+J28+IF($M$4&lt;=2,INDEX(I28:L28,1,$M$4),0))-(G28+H28+IF($D$4&gt;=3,INDEX(E28:H28,1,$D$4),0))))</f>
        <v>0</v>
      </c>
      <c r="P28" s="4" t="str">
        <f t="shared" si="7"/>
        <v>Punt</v>
      </c>
      <c r="Q28" s="10">
        <f t="shared" ref="Q28:Q29" si="10">IF(B28=0,Q27+IF(O28&gt;1,IF(O28=3,8,7),IF(O28=1,3,0)),Q27+IF(O28&gt;-2,0,IF(O28=-2,2,IF(O28=-3,6,7))))</f>
        <v>0</v>
      </c>
      <c r="R28" s="11">
        <f t="shared" si="8"/>
        <v>0</v>
      </c>
      <c r="S28" s="4" t="str">
        <f t="shared" si="9"/>
        <v>TBD</v>
      </c>
    </row>
    <row r="29" spans="1:19" ht="12" customHeight="1" x14ac:dyDescent="0.25">
      <c r="A29" s="4">
        <v>5</v>
      </c>
      <c r="B29" s="4">
        <f>IF(AND(N28&lt;&gt;"",N28&gt;3),B28,1-B28)</f>
        <v>0</v>
      </c>
      <c r="C29" s="4" t="str">
        <f t="shared" si="6"/>
        <v>Ravens</v>
      </c>
      <c r="D29" s="21"/>
      <c r="E29" s="8"/>
      <c r="F29" s="8"/>
      <c r="G29" s="8"/>
      <c r="H29" s="8"/>
      <c r="I29" s="9"/>
      <c r="J29" s="9"/>
      <c r="K29" s="9"/>
      <c r="L29" s="9"/>
      <c r="M29" s="22"/>
      <c r="N29" s="4" t="str" cm="1">
        <f t="array" ref="N29">IF(ABS((SUM(E29:H29)+INDEX(E29:H29,1,$D$4))-(SUM(I29:L29)+INDEX(I29:L29,1,$M$4)))&gt;3,(1-2*B29)*((SUM(E29:H29)+INDEX(E29:H29,1,$D$4))-(SUM(I29:L29)+INDEX(I29:L29,1,$M$4))),"")</f>
        <v/>
      </c>
      <c r="O29" s="4" cm="1">
        <f t="array" ref="O29">IF(N29&lt;&gt;"",N29,IF(B29=0,(E29+F29+IF($D$4&lt;=2,INDEX(E29:H29,1,$D$4),0))-(K29+L29+IF($M$4&gt;=3,INDEX(I29:L29,1,$M$4),0)),(I29+J29+IF($M$4&lt;=2,INDEX(I29:L29,1,$M$4),0))-(G29+H29+IF($D$4&gt;=3,INDEX(E29:H29,1,$D$4),0))))</f>
        <v>0</v>
      </c>
      <c r="P29" s="4" t="str">
        <f t="shared" si="7"/>
        <v>Punt</v>
      </c>
      <c r="Q29" s="10">
        <f t="shared" si="10"/>
        <v>0</v>
      </c>
      <c r="R29" s="11">
        <f t="shared" si="8"/>
        <v>0</v>
      </c>
      <c r="S29" s="4" t="str">
        <f t="shared" si="9"/>
        <v>Tie</v>
      </c>
    </row>
  </sheetData>
  <sheetProtection algorithmName="SHA-512" hashValue="fP63k2iZ+xQbr+kxk8Q8k9tYuEjZITk+bMX0b+YmuSIBgds5GY8p82hYlWZ+u57D/YgrSUBXEw5ovBEERagMkA==" saltValue="FLzgcfxyCvwGEOTfSGM4nQ==" spinCount="100000" sheet="1" objects="1" scenarios="1"/>
  <mergeCells count="28">
    <mergeCell ref="A3:S3"/>
    <mergeCell ref="V3:AO3"/>
    <mergeCell ref="A1:A2"/>
    <mergeCell ref="B1:B2"/>
    <mergeCell ref="C1:C2"/>
    <mergeCell ref="D1:H1"/>
    <mergeCell ref="I1:M1"/>
    <mergeCell ref="N1:N2"/>
    <mergeCell ref="O1:O2"/>
    <mergeCell ref="P1:P2"/>
    <mergeCell ref="Q1:R1"/>
    <mergeCell ref="S1:S2"/>
    <mergeCell ref="V2:AO2"/>
    <mergeCell ref="U10:AO10"/>
    <mergeCell ref="U11:AO11"/>
    <mergeCell ref="A24:S24"/>
    <mergeCell ref="D25:D29"/>
    <mergeCell ref="M25:M29"/>
    <mergeCell ref="D4:D23"/>
    <mergeCell ref="M4:M23"/>
    <mergeCell ref="U4:U6"/>
    <mergeCell ref="V4:AO4"/>
    <mergeCell ref="W5:AO5"/>
    <mergeCell ref="W6:AO6"/>
    <mergeCell ref="U7:U8"/>
    <mergeCell ref="V7:AO7"/>
    <mergeCell ref="V8:AO8"/>
    <mergeCell ref="V9:AO9"/>
  </mergeCells>
  <conditionalFormatting sqref="C4:C23 C25:C29">
    <cfRule type="expression" dxfId="4" priority="1">
      <formula>C4=$D$1</formula>
    </cfRule>
    <cfRule type="expression" dxfId="3" priority="2">
      <formula>C4=$I$1</formula>
    </cfRule>
  </conditionalFormatting>
  <conditionalFormatting sqref="S4:S23 S25:S29">
    <cfRule type="expression" dxfId="2" priority="3">
      <formula>S4=$D$1</formula>
    </cfRule>
    <cfRule type="expression" dxfId="1" priority="4">
      <formula>S4=$I$1</formula>
    </cfRule>
  </conditionalFormatting>
  <conditionalFormatting sqref="S29">
    <cfRule type="expression" dxfId="0" priority="5">
      <formula>$S$29="Tie"</formula>
    </cfRule>
  </conditionalFormatting>
  <dataValidations count="2">
    <dataValidation showInputMessage="1" errorTitle="Invalid Captain input" error="Please input from 1 to 4" sqref="D4:D23 M4:M23" xr:uid="{6D69B3E2-9D1E-4460-A358-93C56C6F1DE6}"/>
    <dataValidation type="whole" allowBlank="1" showInputMessage="1" showErrorMessage="1" errorTitle="Invalid guess input" error="Please input 0 or 1" sqref="E4:L23 E25:L29" xr:uid="{3CCFB9B6-B3C5-45C5-B199-04D8364954F8}">
      <formula1>0</formula1>
      <formula2>1</formula2>
    </dataValidation>
  </dataValidations>
  <printOptions horizontalCentered="1" verticalCentered="1"/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team input" error="Please input Steelers, Ravens, Browns, Bengals, Packers, Vikings, Lions, or Bears" xr:uid="{136728C6-27C0-4232-A59B-3EF1EF36F168}">
          <x14:formula1>
            <xm:f>Setup!$A$2:$A$41</xm:f>
          </x14:formula1>
          <xm:sqref>D1:M1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Game 1</vt:lpstr>
      <vt:lpstr>Game 2</vt:lpstr>
      <vt:lpstr>Game 3</vt:lpstr>
      <vt:lpstr>Game 4</vt:lpstr>
      <vt:lpstr>Game 5</vt:lpstr>
      <vt:lpstr>Game 6</vt:lpstr>
      <vt:lpstr>Game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Ernest Pradipta</dc:creator>
  <cp:lastModifiedBy>Davi Ernest Pradipta</cp:lastModifiedBy>
  <cp:lastPrinted>2025-12-31T06:01:44Z</cp:lastPrinted>
  <dcterms:created xsi:type="dcterms:W3CDTF">2025-12-12T07:18:50Z</dcterms:created>
  <dcterms:modified xsi:type="dcterms:W3CDTF">2025-12-31T11:32:06Z</dcterms:modified>
</cp:coreProperties>
</file>